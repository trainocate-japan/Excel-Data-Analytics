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/chart1.xml" ContentType="application/vnd.openxmlformats-officedocument.drawingml.chart+xml"/>
  <Override PartName="/xl/drawings/drawing1.xml" ContentType="application/vnd.openxmlformats-officedocument.drawing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クラスタリング" sheetId="1" r:id="rId1"/>
  </sheets>
  <definedNames>
    <definedName name="CUR_CENTERS">'クラスタリング'!$B$19:$C$21</definedName>
    <definedName name="ITER">'クラスタリング'!$B$14</definedName>
    <definedName name="MOVE">'クラスタリング'!$B$16</definedName>
    <definedName name="MSG_DONE">'クラスタリング'!$Z$1</definedName>
    <definedName name="NEW_CENTERS">'クラスタリング'!$B$24:$C$26</definedName>
    <definedName name="Z_DATA">'クラスタリング'!$D$33:$E$122</definedName>
  </definedNames>
  <calcPr calcId="124519" fullCalcOnLoad="1"/>
</workbook>
</file>

<file path=xl/sharedStrings.xml><?xml version="1.0" encoding="utf-8"?>
<sst xmlns="http://schemas.openxmlformats.org/spreadsheetml/2006/main" count="132" uniqueCount="125">
  <si>
    <t>k-means クラスタリング（ボタンで動かす）</t>
  </si>
  <si>
    <t>会員90名を「年間来店回数」と「客単価」で3グループに分ける</t>
  </si>
  <si>
    <t>操作</t>
  </si>
  <si>
    <t>くり返し回数</t>
  </si>
  <si>
    <t>SSE（まとまりの悪さ）</t>
  </si>
  <si>
    <t>中心の移動量</t>
  </si>
  <si>
    <t>今の中心（z値）</t>
  </si>
  <si>
    <t>来店回数</t>
  </si>
  <si>
    <t>客単価</t>
  </si>
  <si>
    <t>中心1</t>
  </si>
  <si>
    <t>中心2</t>
  </si>
  <si>
    <t>中心3</t>
  </si>
  <si>
    <t>新しい中心（平均）</t>
  </si>
  <si>
    <t>収束しました。中心がもう動かないので、グループ分けが確定しました。</t>
  </si>
  <si>
    <t>データと計算（黄色以外はすべて数式）</t>
  </si>
  <si>
    <t>顧客ID</t>
  </si>
  <si>
    <t>年間来店回数</t>
  </si>
  <si>
    <t>客単価（円）</t>
  </si>
  <si>
    <t>来店回数(z)</t>
  </si>
  <si>
    <t>客単価(z)</t>
  </si>
  <si>
    <t>中心1との距離</t>
  </si>
  <si>
    <t>中心2との距離</t>
  </si>
  <si>
    <t>中心3との距離</t>
  </si>
  <si>
    <t>クラスタ</t>
  </si>
  <si>
    <t>距離²</t>
  </si>
  <si>
    <t>未分類X</t>
  </si>
  <si>
    <t>未分類Y</t>
  </si>
  <si>
    <t>群1 X</t>
  </si>
  <si>
    <t>群1 Y</t>
  </si>
  <si>
    <t>群2 X</t>
  </si>
  <si>
    <t>群2 Y</t>
  </si>
  <si>
    <t>群3 X</t>
  </si>
  <si>
    <t>群3 Y</t>
  </si>
  <si>
    <t>C001</t>
  </si>
  <si>
    <t>C002</t>
  </si>
  <si>
    <t>C003</t>
  </si>
  <si>
    <t>C004</t>
  </si>
  <si>
    <t>C005</t>
  </si>
  <si>
    <t>C006</t>
  </si>
  <si>
    <t>C007</t>
  </si>
  <si>
    <t>C008</t>
  </si>
  <si>
    <t>C009</t>
  </si>
  <si>
    <t>C010</t>
  </si>
  <si>
    <t>C011</t>
  </si>
  <si>
    <t>C012</t>
  </si>
  <si>
    <t>C013</t>
  </si>
  <si>
    <t>C014</t>
  </si>
  <si>
    <t>C015</t>
  </si>
  <si>
    <t>C016</t>
  </si>
  <si>
    <t>C017</t>
  </si>
  <si>
    <t>C018</t>
  </si>
  <si>
    <t>C019</t>
  </si>
  <si>
    <t>C020</t>
  </si>
  <si>
    <t>C021</t>
  </si>
  <si>
    <t>C022</t>
  </si>
  <si>
    <t>C023</t>
  </si>
  <si>
    <t>C024</t>
  </si>
  <si>
    <t>C025</t>
  </si>
  <si>
    <t>C026</t>
  </si>
  <si>
    <t>C027</t>
  </si>
  <si>
    <t>C028</t>
  </si>
  <si>
    <t>C029</t>
  </si>
  <si>
    <t>C030</t>
  </si>
  <si>
    <t>C031</t>
  </si>
  <si>
    <t>C032</t>
  </si>
  <si>
    <t>C033</t>
  </si>
  <si>
    <t>C034</t>
  </si>
  <si>
    <t>C035</t>
  </si>
  <si>
    <t>C036</t>
  </si>
  <si>
    <t>C037</t>
  </si>
  <si>
    <t>C038</t>
  </si>
  <si>
    <t>C039</t>
  </si>
  <si>
    <t>C040</t>
  </si>
  <si>
    <t>C041</t>
  </si>
  <si>
    <t>C042</t>
  </si>
  <si>
    <t>C043</t>
  </si>
  <si>
    <t>C044</t>
  </si>
  <si>
    <t>C045</t>
  </si>
  <si>
    <t>C046</t>
  </si>
  <si>
    <t>C047</t>
  </si>
  <si>
    <t>C048</t>
  </si>
  <si>
    <t>C049</t>
  </si>
  <si>
    <t>C050</t>
  </si>
  <si>
    <t>C051</t>
  </si>
  <si>
    <t>C052</t>
  </si>
  <si>
    <t>C053</t>
  </si>
  <si>
    <t>C054</t>
  </si>
  <si>
    <t>C055</t>
  </si>
  <si>
    <t>C056</t>
  </si>
  <si>
    <t>C057</t>
  </si>
  <si>
    <t>C058</t>
  </si>
  <si>
    <t>C059</t>
  </si>
  <si>
    <t>C060</t>
  </si>
  <si>
    <t>C061</t>
  </si>
  <si>
    <t>C062</t>
  </si>
  <si>
    <t>C063</t>
  </si>
  <si>
    <t>C064</t>
  </si>
  <si>
    <t>C065</t>
  </si>
  <si>
    <t>C066</t>
  </si>
  <si>
    <t>C067</t>
  </si>
  <si>
    <t>C068</t>
  </si>
  <si>
    <t>C069</t>
  </si>
  <si>
    <t>C070</t>
  </si>
  <si>
    <t>C071</t>
  </si>
  <si>
    <t>C072</t>
  </si>
  <si>
    <t>C073</t>
  </si>
  <si>
    <t>C074</t>
  </si>
  <si>
    <t>C075</t>
  </si>
  <si>
    <t>C076</t>
  </si>
  <si>
    <t>C077</t>
  </si>
  <si>
    <t>C078</t>
  </si>
  <si>
    <t>C079</t>
  </si>
  <si>
    <t>C080</t>
  </si>
  <si>
    <t>C081</t>
  </si>
  <si>
    <t>C082</t>
  </si>
  <si>
    <t>C083</t>
  </si>
  <si>
    <t>C084</t>
  </si>
  <si>
    <t>C085</t>
  </si>
  <si>
    <t>C086</t>
  </si>
  <si>
    <t>C087</t>
  </si>
  <si>
    <t>C088</t>
  </si>
  <si>
    <t>C089</t>
  </si>
  <si>
    <t>C090</t>
  </si>
  <si>
    <t>グラフ用：中心（元の単位）</t>
  </si>
  <si>
    <t>※ ボタンを使うには、開いたときに出る「コンテンツの有効化」を押してください。「セキュリティリスク：マクロの実行がブロックされました」と出たときは、いったん閉じて、ファイルを右クリック →［プロパティ］→「許可する」にチェック →［OK］で開き直してください。Excel for Web ではマクロは動きません（デスクトップ版の Excel を使ってください）。</t>
  </si>
</sst>
</file>

<file path=xl/styles.xml><?xml version="1.0" encoding="utf-8"?>
<styleSheet xmlns="http://schemas.openxmlformats.org/spreadsheetml/2006/main">
  <numFmts count="2">
    <numFmt numFmtId="164" formatCode="0.000"/>
    <numFmt numFmtId="165" formatCode="#,##0"/>
  </numFmts>
  <fonts count="11">
    <font>
      <sz val="11"/>
      <color theme="1"/>
      <name val="Calibri"/>
      <family val="2"/>
      <scheme val="minor"/>
    </font>
    <font>
      <b/>
      <sz val="16"/>
      <color rgb="FF1F3864"/>
      <name val="Meiryo"/>
      <family val="2"/>
    </font>
    <font>
      <sz val="10"/>
      <color rgb="FF595959"/>
      <name val="Meiryo"/>
      <family val="2"/>
    </font>
    <font>
      <b/>
      <sz val="11"/>
      <color rgb="FF1F3864"/>
      <name val="Meiryo"/>
      <family val="2"/>
    </font>
    <font>
      <b/>
      <sz val="12"/>
      <color rgb="FFB91C1C"/>
      <name val="Meiryo"/>
      <family val="2"/>
    </font>
    <font>
      <b/>
      <sz val="10"/>
      <color theme="1"/>
      <name val="Meiryo"/>
      <family val="2"/>
    </font>
    <font>
      <b/>
      <sz val="12"/>
      <color theme="1"/>
      <name val="Meiryo"/>
      <family val="2"/>
    </font>
    <font>
      <sz val="10"/>
      <color theme="1"/>
      <name val="Meiryo"/>
      <family val="2"/>
    </font>
    <font>
      <b/>
      <sz val="10"/>
      <color rgb="FFFFFFFF"/>
      <name val="Meiryo"/>
      <family val="2"/>
    </font>
    <font>
      <sz val="9"/>
      <color rgb="FF595959"/>
      <name val="Meiryo"/>
      <family val="2"/>
    </font>
    <font>
      <sz val="10"/>
      <color rgb="FF9A9994"/>
      <name val="Meiryo"/>
      <family val="2"/>
    </font>
  </fonts>
  <fills count="5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1F6F6B"/>
        <bgColor indexed="64"/>
      </patternFill>
    </fill>
    <fill>
      <patternFill patternType="solid">
        <fgColor rgb="FFFFF2CC"/>
        <bgColor indexed="64"/>
      </patternFill>
    </fill>
  </fills>
  <borders count="3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E4E3DF"/>
      </left>
      <right style="thin">
        <color rgb="FFE4E3DF"/>
      </right>
      <top style="thin">
        <color rgb="FFE4E3DF"/>
      </top>
      <bottom style="thin">
        <color rgb="FFE4E3DF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top" wrapText="1"/>
    </xf>
    <xf numFmtId="0" fontId="5" fillId="2" borderId="1" xfId="0" applyFont="1" applyFill="1" applyBorder="1" applyAlignment="1">
      <alignment vertical="center"/>
    </xf>
    <xf numFmtId="1" fontId="6" fillId="0" borderId="1" xfId="0" applyNumberFormat="1" applyFont="1" applyBorder="1" applyAlignment="1">
      <alignment horizontal="center" vertical="center"/>
    </xf>
    <xf numFmtId="164" fontId="7" fillId="0" borderId="1" xfId="0" applyNumberFormat="1" applyFont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 wrapText="1"/>
    </xf>
    <xf numFmtId="164" fontId="7" fillId="4" borderId="1" xfId="0" applyNumberFormat="1" applyFont="1" applyFill="1" applyBorder="1" applyAlignment="1">
      <alignment horizontal="center" vertical="center"/>
    </xf>
    <xf numFmtId="0" fontId="9" fillId="0" borderId="0" xfId="0" applyFont="1" applyAlignment="1">
      <alignment vertical="top" wrapText="1"/>
    </xf>
    <xf numFmtId="0" fontId="7" fillId="0" borderId="1" xfId="0" applyFont="1" applyBorder="1" applyAlignment="1">
      <alignment vertical="center"/>
    </xf>
    <xf numFmtId="165" fontId="7" fillId="0" borderId="1" xfId="0" applyNumberFormat="1" applyFont="1" applyBorder="1" applyAlignment="1">
      <alignment vertical="center"/>
    </xf>
    <xf numFmtId="1" fontId="5" fillId="0" borderId="1" xfId="0" applyNumberFormat="1" applyFont="1" applyBorder="1" applyAlignment="1">
      <alignment horizontal="center" vertical="center"/>
    </xf>
    <xf numFmtId="1" fontId="10" fillId="0" borderId="2" xfId="0" applyNumberFormat="1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lineMarker"/>
        <c:ser>
          <c:idx val="0"/>
          <c:order val="0"/>
          <c:tx>
            <c:v>未分類</c:v>
          </c:tx>
          <c:spPr>
            <a:ln w="28575">
              <a:noFill/>
            </a:ln>
          </c:spPr>
          <c:marker>
            <c:symbol val="circle"/>
            <c:size val="8"/>
            <c:spPr>
              <a:solidFill>
                <a:srgbClr val="9A9994"/>
              </a:solidFill>
              <a:ln w="9525">
                <a:solidFill>
                  <a:srgbClr val="FFFFFF"/>
                </a:solidFill>
              </a:ln>
            </c:spPr>
          </c:marker>
          <c:xVal>
            <c:numRef>
              <c:f>'クラスタリング'!$L$33:$L$122</c:f>
              <c:numCache>
                <c:formatCode>General</c:formatCode>
                <c:ptCount val="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xVal>
          <c:yVal>
            <c:numRef>
              <c:f>'クラスタリング'!$M$33:$M$122</c:f>
              <c:numCache>
                <c:formatCode>General</c:formatCode>
                <c:ptCount val="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yVal>
        </c:ser>
        <c:ser>
          <c:idx val="1"/>
          <c:order val="1"/>
          <c:tx>
            <c:v>グループ1</c:v>
          </c:tx>
          <c:spPr>
            <a:ln w="28575">
              <a:noFill/>
            </a:ln>
          </c:spPr>
          <c:marker>
            <c:symbol val="circle"/>
            <c:size val="8"/>
            <c:spPr>
              <a:solidFill>
                <a:srgbClr val="2A78D6"/>
              </a:solidFill>
              <a:ln w="9525">
                <a:solidFill>
                  <a:srgbClr val="FFFFFF"/>
                </a:solidFill>
              </a:ln>
            </c:spPr>
          </c:marker>
          <c:xVal>
            <c:numRef>
              <c:f>'クラスタリング'!$N$33:$N$122</c:f>
              <c:numCache>
                <c:formatCode>General</c:formatCode>
                <c:ptCount val="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xVal>
          <c:yVal>
            <c:numRef>
              <c:f>'クラスタリング'!$O$33:$O$122</c:f>
              <c:numCache>
                <c:formatCode>General</c:formatCode>
                <c:ptCount val="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yVal>
        </c:ser>
        <c:ser>
          <c:idx val="2"/>
          <c:order val="2"/>
          <c:tx>
            <c:v>グループ2</c:v>
          </c:tx>
          <c:spPr>
            <a:ln w="28575">
              <a:noFill/>
            </a:ln>
          </c:spPr>
          <c:marker>
            <c:symbol val="square"/>
            <c:size val="8"/>
            <c:spPr>
              <a:solidFill>
                <a:srgbClr val="EB6834"/>
              </a:solidFill>
              <a:ln w="9525">
                <a:solidFill>
                  <a:srgbClr val="FFFFFF"/>
                </a:solidFill>
              </a:ln>
            </c:spPr>
          </c:marker>
          <c:xVal>
            <c:numRef>
              <c:f>'クラスタリング'!$P$33:$P$122</c:f>
              <c:numCache>
                <c:formatCode>General</c:formatCode>
                <c:ptCount val="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xVal>
          <c:yVal>
            <c:numRef>
              <c:f>'クラスタリング'!$Q$33:$Q$122</c:f>
              <c:numCache>
                <c:formatCode>General</c:formatCode>
                <c:ptCount val="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yVal>
        </c:ser>
        <c:ser>
          <c:idx val="3"/>
          <c:order val="3"/>
          <c:tx>
            <c:v>グループ3</c:v>
          </c:tx>
          <c:spPr>
            <a:ln w="28575">
              <a:noFill/>
            </a:ln>
          </c:spPr>
          <c:marker>
            <c:symbol val="triangle"/>
            <c:size val="9"/>
            <c:spPr>
              <a:solidFill>
                <a:srgbClr val="1BAF7A"/>
              </a:solidFill>
              <a:ln w="9525">
                <a:solidFill>
                  <a:srgbClr val="FFFFFF"/>
                </a:solidFill>
              </a:ln>
            </c:spPr>
          </c:marker>
          <c:xVal>
            <c:numRef>
              <c:f>'クラスタリング'!$R$33:$R$122</c:f>
              <c:numCache>
                <c:formatCode>General</c:formatCode>
                <c:ptCount val="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xVal>
          <c:yVal>
            <c:numRef>
              <c:f>'クラスタリング'!$S$33:$S$122</c:f>
              <c:numCache>
                <c:formatCode>General</c:formatCode>
                <c:ptCount val="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yVal>
        </c:ser>
        <c:ser>
          <c:idx val="4"/>
          <c:order val="4"/>
          <c:tx>
            <c:v>中心（◆）</c:v>
          </c:tx>
          <c:spPr>
            <a:ln w="28575">
              <a:noFill/>
            </a:ln>
          </c:spPr>
          <c:marker>
            <c:symbol val="diamond"/>
            <c:size val="14"/>
            <c:spPr>
              <a:solidFill>
                <a:srgbClr val="0B0B0B"/>
              </a:solidFill>
              <a:ln w="19050">
                <a:solidFill>
                  <a:srgbClr val="FFFFFF"/>
                </a:solidFill>
              </a:ln>
            </c:spPr>
          </c:marker>
          <c:xVal>
            <c:numRef>
              <c:f>'クラスタリング'!$U$20:$U$22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'クラスタリング'!$V$20:$V$22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axId val="50010001"/>
        <c:axId val="50010002"/>
      </c:scatterChart>
      <c:valAx>
        <c:axId val="50010001"/>
        <c:scaling>
          <c:orientation val="minMax"/>
          <c:max val="120"/>
          <c:min val="0"/>
        </c:scaling>
        <c:axPos val="b"/>
        <c:majorGridlines>
          <c:spPr>
            <a:ln>
              <a:solidFill>
                <a:srgbClr val="EFEEEA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sz="900" b="0" baseline="0">
                    <a:solidFill>
                      <a:srgbClr val="52514E"/>
                    </a:solidFill>
                    <a:latin typeface="Meiryo"/>
                  </a:defRPr>
                </a:pPr>
                <a:r>
                  <a:rPr lang="en-US" sz="900" b="0" baseline="0">
                    <a:solidFill>
                      <a:srgbClr val="52514E"/>
                    </a:solidFill>
                    <a:latin typeface="Meiryo"/>
                  </a:rPr>
                  <a:t>年間来店回数（回）</a:t>
                </a:r>
              </a:p>
            </c:rich>
          </c:tx>
          <c:layout/>
        </c:title>
        <c:numFmt formatCode="General" sourceLinked="1"/>
        <c:tickLblPos val="nextTo"/>
        <c:spPr>
          <a:ln>
            <a:solidFill>
              <a:srgbClr val="E4E3DF"/>
            </a:solidFill>
          </a:ln>
        </c:spPr>
        <c:txPr>
          <a:bodyPr/>
          <a:lstStyle/>
          <a:p>
            <a:pPr>
              <a:defRPr sz="900" baseline="0">
                <a:solidFill>
                  <a:srgbClr val="52514E"/>
                </a:solidFill>
                <a:latin typeface="Meiryo"/>
              </a:defRPr>
            </a:pPr>
            <a:endParaRPr lang="en-US"/>
          </a:p>
        </c:txPr>
        <c:crossAx val="50010002"/>
        <c:crosses val="autoZero"/>
        <c:crossBetween val="midCat"/>
        <c:majorUnit val="20"/>
      </c:valAx>
      <c:valAx>
        <c:axId val="50010002"/>
        <c:scaling>
          <c:orientation val="minMax"/>
          <c:max val="7000"/>
          <c:min val="0"/>
        </c:scaling>
        <c:axPos val="l"/>
        <c:majorGridlines>
          <c:spPr>
            <a:ln>
              <a:solidFill>
                <a:srgbClr val="EFEEEA"/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900" b="0" baseline="0">
                    <a:solidFill>
                      <a:srgbClr val="52514E"/>
                    </a:solidFill>
                    <a:latin typeface="Meiryo"/>
                  </a:defRPr>
                </a:pPr>
                <a:r>
                  <a:rPr lang="en-US" sz="900" b="0" baseline="0">
                    <a:solidFill>
                      <a:srgbClr val="52514E"/>
                    </a:solidFill>
                    <a:latin typeface="Meiryo"/>
                  </a:rPr>
                  <a:t>客単価（円）</a:t>
                </a:r>
              </a:p>
            </c:rich>
          </c:tx>
          <c:layout/>
        </c:title>
        <c:numFmt formatCode="#,##0" sourceLinked="0"/>
        <c:tickLblPos val="nextTo"/>
        <c:spPr>
          <a:ln>
            <a:solidFill>
              <a:srgbClr val="E4E3DF"/>
            </a:solidFill>
          </a:ln>
        </c:spPr>
        <c:txPr>
          <a:bodyPr/>
          <a:lstStyle/>
          <a:p>
            <a:pPr>
              <a:defRPr sz="900" baseline="0">
                <a:solidFill>
                  <a:srgbClr val="52514E"/>
                </a:solidFill>
                <a:latin typeface="Meiryo"/>
              </a:defRPr>
            </a:pPr>
            <a:endParaRPr lang="en-US"/>
          </a:p>
        </c:txPr>
        <c:crossAx val="50010001"/>
        <c:crosses val="autoZero"/>
        <c:crossBetween val="midCat"/>
        <c:majorUnit val="1000"/>
      </c:valAx>
      <c:spPr>
        <a:solidFill>
          <a:srgbClr val="FCFCFB"/>
        </a:solidFill>
      </c:spPr>
    </c:plotArea>
    <c:legend>
      <c:legendPos val="b"/>
      <c:layout/>
      <c:txPr>
        <a:bodyPr/>
        <a:lstStyle/>
        <a:p>
          <a:pPr>
            <a:defRPr sz="900" baseline="0">
              <a:latin typeface="Meiryo"/>
            </a:defRPr>
          </a:pPr>
          <a:endParaRPr lang="en-US"/>
        </a:p>
      </c:txPr>
    </c:legend>
    <c:plotVisOnly val="1"/>
  </c:chart>
  <c:spPr>
    <a:solidFill>
      <a:srgbClr val="FCFCFB"/>
    </a:solidFill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38100</xdr:colOff>
      <xdr:row>5</xdr:row>
      <xdr:rowOff>57150</xdr:rowOff>
    </xdr:from>
    <xdr:to>
      <xdr:col>17</xdr:col>
      <xdr:colOff>28575</xdr:colOff>
      <xdr:row>26</xdr:row>
      <xdr:rowOff>57150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Z122"/>
  <sheetViews>
    <sheetView showGridLines="0" tabSelected="1" zoomScale="90" zoomScaleNormal="90" workbookViewId="0">
      <pane topLeftCell="A1" activePane="bottomLeft" state="frozen"/>
      <selection pane="bottomLeft"/>
    </sheetView>
  </sheetViews>
  <sheetFormatPr defaultRowHeight="15"/>
  <cols>
    <col min="1" max="1" width="24.7109375" customWidth="1"/>
    <col min="2" max="4" width="12.28515625" customWidth="1"/>
    <col min="5" max="10" width="11.7109375" customWidth="1"/>
    <col min="11" max="11" width="2.7109375" customWidth="1"/>
    <col min="12" max="19" width="9.28515625" customWidth="1"/>
    <col min="26" max="26" width="40.7109375" hidden="1" customWidth="1"/>
  </cols>
  <sheetData>
    <row r="1" spans="1:26">
      <c r="A1" s="1" t="s">
        <v>0</v>
      </c>
      <c r="Z1" t="s">
        <v>13</v>
      </c>
    </row>
    <row r="2" spans="1:26">
      <c r="A2" s="2" t="s">
        <v>1</v>
      </c>
    </row>
    <row r="4" spans="1:26">
      <c r="A4" s="3" t="s">
        <v>2</v>
      </c>
      <c r="E4" s="4">
        <f>IF(ITER=0,"未分類：「② 1ステップ進める」を押すと、各点が一番近い中心のグループに入ります",IF(MOVE&lt;0.000000001,"収束しました（"&amp;ITER&amp;"回目）。もう中心は動きません。「①」で別の初期値から試せます","実行中："&amp;ITER&amp;"回目　もう一度押すと、中心（◆）が各グループの平均へ移動し、グループ分けが変わります"))</f>
        <v>0</v>
      </c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</row>
    <row r="5" spans="1:26"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</row>
    <row r="14" spans="1:26">
      <c r="A14" s="5" t="s">
        <v>3</v>
      </c>
      <c r="B14" s="6">
        <v>0</v>
      </c>
    </row>
    <row r="15" spans="1:26">
      <c r="A15" s="5" t="s">
        <v>4</v>
      </c>
      <c r="B15" s="7">
        <f>SUM(J33:J122)</f>
        <v>0</v>
      </c>
    </row>
    <row r="16" spans="1:26">
      <c r="A16" s="5" t="s">
        <v>5</v>
      </c>
      <c r="B16" s="7">
        <f>SUMXMY2(B19:C21,B24:C26)</f>
        <v>0</v>
      </c>
    </row>
    <row r="18" spans="1:22">
      <c r="A18" s="3" t="s">
        <v>6</v>
      </c>
      <c r="B18" s="8" t="s">
        <v>7</v>
      </c>
      <c r="C18" s="8" t="s">
        <v>8</v>
      </c>
      <c r="U18" s="3" t="s">
        <v>123</v>
      </c>
    </row>
    <row r="19" spans="1:22">
      <c r="A19" s="5" t="s">
        <v>9</v>
      </c>
      <c r="B19" s="9">
        <v>-0.2153538974769733</v>
      </c>
      <c r="C19" s="9">
        <v>1.372503232926879</v>
      </c>
      <c r="U19" s="8" t="s">
        <v>7</v>
      </c>
      <c r="V19" s="8" t="s">
        <v>8</v>
      </c>
    </row>
    <row r="20" spans="1:22">
      <c r="A20" s="5" t="s">
        <v>10</v>
      </c>
      <c r="B20" s="9">
        <v>1.628814739499346</v>
      </c>
      <c r="C20" s="9">
        <v>-0.6252323460577194</v>
      </c>
      <c r="U20" s="7">
        <f>AVERAGE($B$33:$B$122)+B19*_xlfn.STDEV.S($B$33:$B$122)</f>
        <v>0</v>
      </c>
      <c r="V20" s="7">
        <f>AVERAGE($C$33:$C$122)+C19*_xlfn.STDEV.S($C$33:$C$122)</f>
        <v>0</v>
      </c>
    </row>
    <row r="21" spans="1:22">
      <c r="A21" s="5" t="s">
        <v>11</v>
      </c>
      <c r="B21" s="9">
        <v>1.664974908851823</v>
      </c>
      <c r="C21" s="9">
        <v>-0.7556967103995706</v>
      </c>
      <c r="U21" s="7">
        <f>AVERAGE($B$33:$B$122)+B20*_xlfn.STDEV.S($B$33:$B$122)</f>
        <v>0</v>
      </c>
      <c r="V21" s="7">
        <f>AVERAGE($C$33:$C$122)+C20*_xlfn.STDEV.S($C$33:$C$122)</f>
        <v>0</v>
      </c>
    </row>
    <row r="22" spans="1:22">
      <c r="U22" s="7">
        <f>AVERAGE($B$33:$B$122)+B21*_xlfn.STDEV.S($B$33:$B$122)</f>
        <v>0</v>
      </c>
      <c r="V22" s="7">
        <f>AVERAGE($C$33:$C$122)+C21*_xlfn.STDEV.S($C$33:$C$122)</f>
        <v>0</v>
      </c>
    </row>
    <row r="23" spans="1:22">
      <c r="A23" s="3" t="s">
        <v>12</v>
      </c>
      <c r="B23" s="8" t="s">
        <v>7</v>
      </c>
      <c r="C23" s="8" t="s">
        <v>8</v>
      </c>
    </row>
    <row r="24" spans="1:22">
      <c r="A24" s="5" t="s">
        <v>9</v>
      </c>
      <c r="B24" s="7">
        <f>IFERROR(AVERAGEIFS($D$33:$D$122,$I$33:$I$122,1),B19)</f>
        <v>0</v>
      </c>
      <c r="C24" s="7">
        <f>IFERROR(AVERAGEIFS($E$33:$E$122,$I$33:$I$122,1),C19)</f>
        <v>0</v>
      </c>
    </row>
    <row r="25" spans="1:22">
      <c r="A25" s="5" t="s">
        <v>10</v>
      </c>
      <c r="B25" s="7">
        <f>IFERROR(AVERAGEIFS($D$33:$D$122,$I$33:$I$122,2),B20)</f>
        <v>0</v>
      </c>
      <c r="C25" s="7">
        <f>IFERROR(AVERAGEIFS($E$33:$E$122,$I$33:$I$122,2),C20)</f>
        <v>0</v>
      </c>
    </row>
    <row r="26" spans="1:22">
      <c r="A26" s="5" t="s">
        <v>11</v>
      </c>
      <c r="B26" s="7">
        <f>IFERROR(AVERAGEIFS($D$33:$D$122,$I$33:$I$122,3),B21)</f>
        <v>0</v>
      </c>
      <c r="C26" s="7">
        <f>IFERROR(AVERAGEIFS($E$33:$E$122,$I$33:$I$122,3),C21)</f>
        <v>0</v>
      </c>
    </row>
    <row r="29" spans="1:22" ht="30" customHeight="1">
      <c r="A29" s="10" t="s">
        <v>124</v>
      </c>
      <c r="B29" s="10"/>
      <c r="C29" s="10"/>
      <c r="D29" s="10"/>
      <c r="E29" s="10"/>
      <c r="F29" s="10"/>
      <c r="G29" s="10"/>
      <c r="H29" s="10"/>
      <c r="I29" s="10"/>
      <c r="J29" s="10"/>
    </row>
    <row r="30" spans="1:22" ht="30" customHeight="1">
      <c r="A30" s="10"/>
      <c r="B30" s="10"/>
      <c r="C30" s="10"/>
      <c r="D30" s="10"/>
      <c r="E30" s="10"/>
      <c r="F30" s="10"/>
      <c r="G30" s="10"/>
      <c r="H30" s="10"/>
      <c r="I30" s="10"/>
      <c r="J30" s="10"/>
    </row>
    <row r="31" spans="1:22">
      <c r="A31" s="3" t="s">
        <v>14</v>
      </c>
    </row>
    <row r="32" spans="1:22" ht="30" customHeight="1">
      <c r="A32" s="8" t="s">
        <v>15</v>
      </c>
      <c r="B32" s="8" t="s">
        <v>16</v>
      </c>
      <c r="C32" s="8" t="s">
        <v>17</v>
      </c>
      <c r="D32" s="8" t="s">
        <v>18</v>
      </c>
      <c r="E32" s="8" t="s">
        <v>19</v>
      </c>
      <c r="F32" s="8" t="s">
        <v>20</v>
      </c>
      <c r="G32" s="8" t="s">
        <v>21</v>
      </c>
      <c r="H32" s="8" t="s">
        <v>22</v>
      </c>
      <c r="I32" s="8" t="s">
        <v>23</v>
      </c>
      <c r="J32" s="8" t="s">
        <v>24</v>
      </c>
      <c r="L32" s="8" t="s">
        <v>25</v>
      </c>
      <c r="M32" s="8" t="s">
        <v>26</v>
      </c>
      <c r="N32" s="8" t="s">
        <v>27</v>
      </c>
      <c r="O32" s="8" t="s">
        <v>28</v>
      </c>
      <c r="P32" s="8" t="s">
        <v>29</v>
      </c>
      <c r="Q32" s="8" t="s">
        <v>30</v>
      </c>
      <c r="R32" s="8" t="s">
        <v>31</v>
      </c>
      <c r="S32" s="8" t="s">
        <v>32</v>
      </c>
    </row>
    <row r="33" spans="1:19">
      <c r="A33" s="11" t="s">
        <v>33</v>
      </c>
      <c r="B33" s="11">
        <v>37</v>
      </c>
      <c r="C33" s="12">
        <v>4490</v>
      </c>
      <c r="D33" s="7">
        <f>STANDARDIZE(B33,AVERAGE($B$33:$B$122),_xlfn.STDEV.S($B$33:$B$122))</f>
        <v>0</v>
      </c>
      <c r="E33" s="7">
        <f>STANDARDIZE(C33,AVERAGE($C$33:$C$122),_xlfn.STDEV.S($C$33:$C$122))</f>
        <v>0</v>
      </c>
      <c r="F33" s="7">
        <f>SQRT((D33-$B$19)^2+(E33-$C$19)^2)</f>
        <v>0</v>
      </c>
      <c r="G33" s="7">
        <f>SQRT((D33-$B$20)^2+(E33-$C$20)^2)</f>
        <v>0</v>
      </c>
      <c r="H33" s="7">
        <f>SQRT((D33-$B$21)^2+(E33-$C$21)^2)</f>
        <v>0</v>
      </c>
      <c r="I33" s="13">
        <f>MATCH(MIN(F33:H33),F33:H33,0)</f>
        <v>0</v>
      </c>
      <c r="J33" s="7">
        <f>INDEX(F33:H33,I33)^2</f>
        <v>0</v>
      </c>
      <c r="L33" s="14">
        <f>IF(ITER=0,B33,NA())</f>
        <v>0</v>
      </c>
      <c r="M33" s="14">
        <f>IF(ITER=0,C33,NA())</f>
        <v>0</v>
      </c>
      <c r="N33" s="14">
        <f>IF(AND(ITER&gt;0,I33=1),B33,NA())</f>
        <v>0</v>
      </c>
      <c r="O33" s="14">
        <f>IF(AND(ITER&gt;0,I33=1),C33,NA())</f>
        <v>0</v>
      </c>
      <c r="P33" s="14">
        <f>IF(AND(ITER&gt;0,I33=2),B33,NA())</f>
        <v>0</v>
      </c>
      <c r="Q33" s="14">
        <f>IF(AND(ITER&gt;0,I33=2),C33,NA())</f>
        <v>0</v>
      </c>
      <c r="R33" s="14">
        <f>IF(AND(ITER&gt;0,I33=3),B33,NA())</f>
        <v>0</v>
      </c>
      <c r="S33" s="14">
        <f>IF(AND(ITER&gt;0,I33=3),C33,NA())</f>
        <v>0</v>
      </c>
    </row>
    <row r="34" spans="1:19">
      <c r="A34" s="11" t="s">
        <v>34</v>
      </c>
      <c r="B34" s="11">
        <v>88</v>
      </c>
      <c r="C34" s="12">
        <v>2040</v>
      </c>
      <c r="D34" s="7">
        <f>STANDARDIZE(B34,AVERAGE($B$33:$B$122),_xlfn.STDEV.S($B$33:$B$122))</f>
        <v>0</v>
      </c>
      <c r="E34" s="7">
        <f>STANDARDIZE(C34,AVERAGE($C$33:$C$122),_xlfn.STDEV.S($C$33:$C$122))</f>
        <v>0</v>
      </c>
      <c r="F34" s="7">
        <f>SQRT((D34-$B$19)^2+(E34-$C$19)^2)</f>
        <v>0</v>
      </c>
      <c r="G34" s="7">
        <f>SQRT((D34-$B$20)^2+(E34-$C$20)^2)</f>
        <v>0</v>
      </c>
      <c r="H34" s="7">
        <f>SQRT((D34-$B$21)^2+(E34-$C$21)^2)</f>
        <v>0</v>
      </c>
      <c r="I34" s="13">
        <f>MATCH(MIN(F34:H34),F34:H34,0)</f>
        <v>0</v>
      </c>
      <c r="J34" s="7">
        <f>INDEX(F34:H34,I34)^2</f>
        <v>0</v>
      </c>
      <c r="L34" s="14">
        <f>IF(ITER=0,B34,NA())</f>
        <v>0</v>
      </c>
      <c r="M34" s="14">
        <f>IF(ITER=0,C34,NA())</f>
        <v>0</v>
      </c>
      <c r="N34" s="14">
        <f>IF(AND(ITER&gt;0,I34=1),B34,NA())</f>
        <v>0</v>
      </c>
      <c r="O34" s="14">
        <f>IF(AND(ITER&gt;0,I34=1),C34,NA())</f>
        <v>0</v>
      </c>
      <c r="P34" s="14">
        <f>IF(AND(ITER&gt;0,I34=2),B34,NA())</f>
        <v>0</v>
      </c>
      <c r="Q34" s="14">
        <f>IF(AND(ITER&gt;0,I34=2),C34,NA())</f>
        <v>0</v>
      </c>
      <c r="R34" s="14">
        <f>IF(AND(ITER&gt;0,I34=3),B34,NA())</f>
        <v>0</v>
      </c>
      <c r="S34" s="14">
        <f>IF(AND(ITER&gt;0,I34=3),C34,NA())</f>
        <v>0</v>
      </c>
    </row>
    <row r="35" spans="1:19">
      <c r="A35" s="11" t="s">
        <v>35</v>
      </c>
      <c r="B35" s="11">
        <v>89</v>
      </c>
      <c r="C35" s="12">
        <v>1880</v>
      </c>
      <c r="D35" s="7">
        <f>STANDARDIZE(B35,AVERAGE($B$33:$B$122),_xlfn.STDEV.S($B$33:$B$122))</f>
        <v>0</v>
      </c>
      <c r="E35" s="7">
        <f>STANDARDIZE(C35,AVERAGE($C$33:$C$122),_xlfn.STDEV.S($C$33:$C$122))</f>
        <v>0</v>
      </c>
      <c r="F35" s="7">
        <f>SQRT((D35-$B$19)^2+(E35-$C$19)^2)</f>
        <v>0</v>
      </c>
      <c r="G35" s="7">
        <f>SQRT((D35-$B$20)^2+(E35-$C$20)^2)</f>
        <v>0</v>
      </c>
      <c r="H35" s="7">
        <f>SQRT((D35-$B$21)^2+(E35-$C$21)^2)</f>
        <v>0</v>
      </c>
      <c r="I35" s="13">
        <f>MATCH(MIN(F35:H35),F35:H35,0)</f>
        <v>0</v>
      </c>
      <c r="J35" s="7">
        <f>INDEX(F35:H35,I35)^2</f>
        <v>0</v>
      </c>
      <c r="L35" s="14">
        <f>IF(ITER=0,B35,NA())</f>
        <v>0</v>
      </c>
      <c r="M35" s="14">
        <f>IF(ITER=0,C35,NA())</f>
        <v>0</v>
      </c>
      <c r="N35" s="14">
        <f>IF(AND(ITER&gt;0,I35=1),B35,NA())</f>
        <v>0</v>
      </c>
      <c r="O35" s="14">
        <f>IF(AND(ITER&gt;0,I35=1),C35,NA())</f>
        <v>0</v>
      </c>
      <c r="P35" s="14">
        <f>IF(AND(ITER&gt;0,I35=2),B35,NA())</f>
        <v>0</v>
      </c>
      <c r="Q35" s="14">
        <f>IF(AND(ITER&gt;0,I35=2),C35,NA())</f>
        <v>0</v>
      </c>
      <c r="R35" s="14">
        <f>IF(AND(ITER&gt;0,I35=3),B35,NA())</f>
        <v>0</v>
      </c>
      <c r="S35" s="14">
        <f>IF(AND(ITER&gt;0,I35=3),C35,NA())</f>
        <v>0</v>
      </c>
    </row>
    <row r="36" spans="1:19">
      <c r="A36" s="11" t="s">
        <v>36</v>
      </c>
      <c r="B36" s="11">
        <v>78</v>
      </c>
      <c r="C36" s="12">
        <v>1510</v>
      </c>
      <c r="D36" s="7">
        <f>STANDARDIZE(B36,AVERAGE($B$33:$B$122),_xlfn.STDEV.S($B$33:$B$122))</f>
        <v>0</v>
      </c>
      <c r="E36" s="7">
        <f>STANDARDIZE(C36,AVERAGE($C$33:$C$122),_xlfn.STDEV.S($C$33:$C$122))</f>
        <v>0</v>
      </c>
      <c r="F36" s="7">
        <f>SQRT((D36-$B$19)^2+(E36-$C$19)^2)</f>
        <v>0</v>
      </c>
      <c r="G36" s="7">
        <f>SQRT((D36-$B$20)^2+(E36-$C$20)^2)</f>
        <v>0</v>
      </c>
      <c r="H36" s="7">
        <f>SQRT((D36-$B$21)^2+(E36-$C$21)^2)</f>
        <v>0</v>
      </c>
      <c r="I36" s="13">
        <f>MATCH(MIN(F36:H36),F36:H36,0)</f>
        <v>0</v>
      </c>
      <c r="J36" s="7">
        <f>INDEX(F36:H36,I36)^2</f>
        <v>0</v>
      </c>
      <c r="L36" s="14">
        <f>IF(ITER=0,B36,NA())</f>
        <v>0</v>
      </c>
      <c r="M36" s="14">
        <f>IF(ITER=0,C36,NA())</f>
        <v>0</v>
      </c>
      <c r="N36" s="14">
        <f>IF(AND(ITER&gt;0,I36=1),B36,NA())</f>
        <v>0</v>
      </c>
      <c r="O36" s="14">
        <f>IF(AND(ITER&gt;0,I36=1),C36,NA())</f>
        <v>0</v>
      </c>
      <c r="P36" s="14">
        <f>IF(AND(ITER&gt;0,I36=2),B36,NA())</f>
        <v>0</v>
      </c>
      <c r="Q36" s="14">
        <f>IF(AND(ITER&gt;0,I36=2),C36,NA())</f>
        <v>0</v>
      </c>
      <c r="R36" s="14">
        <f>IF(AND(ITER&gt;0,I36=3),B36,NA())</f>
        <v>0</v>
      </c>
      <c r="S36" s="14">
        <f>IF(AND(ITER&gt;0,I36=3),C36,NA())</f>
        <v>0</v>
      </c>
    </row>
    <row r="37" spans="1:19">
      <c r="A37" s="11" t="s">
        <v>37</v>
      </c>
      <c r="B37" s="11">
        <v>27</v>
      </c>
      <c r="C37" s="12">
        <v>3610</v>
      </c>
      <c r="D37" s="7">
        <f>STANDARDIZE(B37,AVERAGE($B$33:$B$122),_xlfn.STDEV.S($B$33:$B$122))</f>
        <v>0</v>
      </c>
      <c r="E37" s="7">
        <f>STANDARDIZE(C37,AVERAGE($C$33:$C$122),_xlfn.STDEV.S($C$33:$C$122))</f>
        <v>0</v>
      </c>
      <c r="F37" s="7">
        <f>SQRT((D37-$B$19)^2+(E37-$C$19)^2)</f>
        <v>0</v>
      </c>
      <c r="G37" s="7">
        <f>SQRT((D37-$B$20)^2+(E37-$C$20)^2)</f>
        <v>0</v>
      </c>
      <c r="H37" s="7">
        <f>SQRT((D37-$B$21)^2+(E37-$C$21)^2)</f>
        <v>0</v>
      </c>
      <c r="I37" s="13">
        <f>MATCH(MIN(F37:H37),F37:H37,0)</f>
        <v>0</v>
      </c>
      <c r="J37" s="7">
        <f>INDEX(F37:H37,I37)^2</f>
        <v>0</v>
      </c>
      <c r="L37" s="14">
        <f>IF(ITER=0,B37,NA())</f>
        <v>0</v>
      </c>
      <c r="M37" s="14">
        <f>IF(ITER=0,C37,NA())</f>
        <v>0</v>
      </c>
      <c r="N37" s="14">
        <f>IF(AND(ITER&gt;0,I37=1),B37,NA())</f>
        <v>0</v>
      </c>
      <c r="O37" s="14">
        <f>IF(AND(ITER&gt;0,I37=1),C37,NA())</f>
        <v>0</v>
      </c>
      <c r="P37" s="14">
        <f>IF(AND(ITER&gt;0,I37=2),B37,NA())</f>
        <v>0</v>
      </c>
      <c r="Q37" s="14">
        <f>IF(AND(ITER&gt;0,I37=2),C37,NA())</f>
        <v>0</v>
      </c>
      <c r="R37" s="14">
        <f>IF(AND(ITER&gt;0,I37=3),B37,NA())</f>
        <v>0</v>
      </c>
      <c r="S37" s="14">
        <f>IF(AND(ITER&gt;0,I37=3),C37,NA())</f>
        <v>0</v>
      </c>
    </row>
    <row r="38" spans="1:19">
      <c r="A38" s="11" t="s">
        <v>38</v>
      </c>
      <c r="B38" s="11">
        <v>81</v>
      </c>
      <c r="C38" s="12">
        <v>2540</v>
      </c>
      <c r="D38" s="7">
        <f>STANDARDIZE(B38,AVERAGE($B$33:$B$122),_xlfn.STDEV.S($B$33:$B$122))</f>
        <v>0</v>
      </c>
      <c r="E38" s="7">
        <f>STANDARDIZE(C38,AVERAGE($C$33:$C$122),_xlfn.STDEV.S($C$33:$C$122))</f>
        <v>0</v>
      </c>
      <c r="F38" s="7">
        <f>SQRT((D38-$B$19)^2+(E38-$C$19)^2)</f>
        <v>0</v>
      </c>
      <c r="G38" s="7">
        <f>SQRT((D38-$B$20)^2+(E38-$C$20)^2)</f>
        <v>0</v>
      </c>
      <c r="H38" s="7">
        <f>SQRT((D38-$B$21)^2+(E38-$C$21)^2)</f>
        <v>0</v>
      </c>
      <c r="I38" s="13">
        <f>MATCH(MIN(F38:H38),F38:H38,0)</f>
        <v>0</v>
      </c>
      <c r="J38" s="7">
        <f>INDEX(F38:H38,I38)^2</f>
        <v>0</v>
      </c>
      <c r="L38" s="14">
        <f>IF(ITER=0,B38,NA())</f>
        <v>0</v>
      </c>
      <c r="M38" s="14">
        <f>IF(ITER=0,C38,NA())</f>
        <v>0</v>
      </c>
      <c r="N38" s="14">
        <f>IF(AND(ITER&gt;0,I38=1),B38,NA())</f>
        <v>0</v>
      </c>
      <c r="O38" s="14">
        <f>IF(AND(ITER&gt;0,I38=1),C38,NA())</f>
        <v>0</v>
      </c>
      <c r="P38" s="14">
        <f>IF(AND(ITER&gt;0,I38=2),B38,NA())</f>
        <v>0</v>
      </c>
      <c r="Q38" s="14">
        <f>IF(AND(ITER&gt;0,I38=2),C38,NA())</f>
        <v>0</v>
      </c>
      <c r="R38" s="14">
        <f>IF(AND(ITER&gt;0,I38=3),B38,NA())</f>
        <v>0</v>
      </c>
      <c r="S38" s="14">
        <f>IF(AND(ITER&gt;0,I38=3),C38,NA())</f>
        <v>0</v>
      </c>
    </row>
    <row r="39" spans="1:19">
      <c r="A39" s="11" t="s">
        <v>39</v>
      </c>
      <c r="B39" s="11">
        <v>31</v>
      </c>
      <c r="C39" s="12">
        <v>4630</v>
      </c>
      <c r="D39" s="7">
        <f>STANDARDIZE(B39,AVERAGE($B$33:$B$122),_xlfn.STDEV.S($B$33:$B$122))</f>
        <v>0</v>
      </c>
      <c r="E39" s="7">
        <f>STANDARDIZE(C39,AVERAGE($C$33:$C$122),_xlfn.STDEV.S($C$33:$C$122))</f>
        <v>0</v>
      </c>
      <c r="F39" s="7">
        <f>SQRT((D39-$B$19)^2+(E39-$C$19)^2)</f>
        <v>0</v>
      </c>
      <c r="G39" s="7">
        <f>SQRT((D39-$B$20)^2+(E39-$C$20)^2)</f>
        <v>0</v>
      </c>
      <c r="H39" s="7">
        <f>SQRT((D39-$B$21)^2+(E39-$C$21)^2)</f>
        <v>0</v>
      </c>
      <c r="I39" s="13">
        <f>MATCH(MIN(F39:H39),F39:H39,0)</f>
        <v>0</v>
      </c>
      <c r="J39" s="7">
        <f>INDEX(F39:H39,I39)^2</f>
        <v>0</v>
      </c>
      <c r="L39" s="14">
        <f>IF(ITER=0,B39,NA())</f>
        <v>0</v>
      </c>
      <c r="M39" s="14">
        <f>IF(ITER=0,C39,NA())</f>
        <v>0</v>
      </c>
      <c r="N39" s="14">
        <f>IF(AND(ITER&gt;0,I39=1),B39,NA())</f>
        <v>0</v>
      </c>
      <c r="O39" s="14">
        <f>IF(AND(ITER&gt;0,I39=1),C39,NA())</f>
        <v>0</v>
      </c>
      <c r="P39" s="14">
        <f>IF(AND(ITER&gt;0,I39=2),B39,NA())</f>
        <v>0</v>
      </c>
      <c r="Q39" s="14">
        <f>IF(AND(ITER&gt;0,I39=2),C39,NA())</f>
        <v>0</v>
      </c>
      <c r="R39" s="14">
        <f>IF(AND(ITER&gt;0,I39=3),B39,NA())</f>
        <v>0</v>
      </c>
      <c r="S39" s="14">
        <f>IF(AND(ITER&gt;0,I39=3),C39,NA())</f>
        <v>0</v>
      </c>
    </row>
    <row r="40" spans="1:19">
      <c r="A40" s="11" t="s">
        <v>40</v>
      </c>
      <c r="B40" s="11">
        <v>7</v>
      </c>
      <c r="C40" s="12">
        <v>4170</v>
      </c>
      <c r="D40" s="7">
        <f>STANDARDIZE(B40,AVERAGE($B$33:$B$122),_xlfn.STDEV.S($B$33:$B$122))</f>
        <v>0</v>
      </c>
      <c r="E40" s="7">
        <f>STANDARDIZE(C40,AVERAGE($C$33:$C$122),_xlfn.STDEV.S($C$33:$C$122))</f>
        <v>0</v>
      </c>
      <c r="F40" s="7">
        <f>SQRT((D40-$B$19)^2+(E40-$C$19)^2)</f>
        <v>0</v>
      </c>
      <c r="G40" s="7">
        <f>SQRT((D40-$B$20)^2+(E40-$C$20)^2)</f>
        <v>0</v>
      </c>
      <c r="H40" s="7">
        <f>SQRT((D40-$B$21)^2+(E40-$C$21)^2)</f>
        <v>0</v>
      </c>
      <c r="I40" s="13">
        <f>MATCH(MIN(F40:H40),F40:H40,0)</f>
        <v>0</v>
      </c>
      <c r="J40" s="7">
        <f>INDEX(F40:H40,I40)^2</f>
        <v>0</v>
      </c>
      <c r="L40" s="14">
        <f>IF(ITER=0,B40,NA())</f>
        <v>0</v>
      </c>
      <c r="M40" s="14">
        <f>IF(ITER=0,C40,NA())</f>
        <v>0</v>
      </c>
      <c r="N40" s="14">
        <f>IF(AND(ITER&gt;0,I40=1),B40,NA())</f>
        <v>0</v>
      </c>
      <c r="O40" s="14">
        <f>IF(AND(ITER&gt;0,I40=1),C40,NA())</f>
        <v>0</v>
      </c>
      <c r="P40" s="14">
        <f>IF(AND(ITER&gt;0,I40=2),B40,NA())</f>
        <v>0</v>
      </c>
      <c r="Q40" s="14">
        <f>IF(AND(ITER&gt;0,I40=2),C40,NA())</f>
        <v>0</v>
      </c>
      <c r="R40" s="14">
        <f>IF(AND(ITER&gt;0,I40=3),B40,NA())</f>
        <v>0</v>
      </c>
      <c r="S40" s="14">
        <f>IF(AND(ITER&gt;0,I40=3),C40,NA())</f>
        <v>0</v>
      </c>
    </row>
    <row r="41" spans="1:19">
      <c r="A41" s="11" t="s">
        <v>41</v>
      </c>
      <c r="B41" s="11">
        <v>28</v>
      </c>
      <c r="C41" s="12">
        <v>3160</v>
      </c>
      <c r="D41" s="7">
        <f>STANDARDIZE(B41,AVERAGE($B$33:$B$122),_xlfn.STDEV.S($B$33:$B$122))</f>
        <v>0</v>
      </c>
      <c r="E41" s="7">
        <f>STANDARDIZE(C41,AVERAGE($C$33:$C$122),_xlfn.STDEV.S($C$33:$C$122))</f>
        <v>0</v>
      </c>
      <c r="F41" s="7">
        <f>SQRT((D41-$B$19)^2+(E41-$C$19)^2)</f>
        <v>0</v>
      </c>
      <c r="G41" s="7">
        <f>SQRT((D41-$B$20)^2+(E41-$C$20)^2)</f>
        <v>0</v>
      </c>
      <c r="H41" s="7">
        <f>SQRT((D41-$B$21)^2+(E41-$C$21)^2)</f>
        <v>0</v>
      </c>
      <c r="I41" s="13">
        <f>MATCH(MIN(F41:H41),F41:H41,0)</f>
        <v>0</v>
      </c>
      <c r="J41" s="7">
        <f>INDEX(F41:H41,I41)^2</f>
        <v>0</v>
      </c>
      <c r="L41" s="14">
        <f>IF(ITER=0,B41,NA())</f>
        <v>0</v>
      </c>
      <c r="M41" s="14">
        <f>IF(ITER=0,C41,NA())</f>
        <v>0</v>
      </c>
      <c r="N41" s="14">
        <f>IF(AND(ITER&gt;0,I41=1),B41,NA())</f>
        <v>0</v>
      </c>
      <c r="O41" s="14">
        <f>IF(AND(ITER&gt;0,I41=1),C41,NA())</f>
        <v>0</v>
      </c>
      <c r="P41" s="14">
        <f>IF(AND(ITER&gt;0,I41=2),B41,NA())</f>
        <v>0</v>
      </c>
      <c r="Q41" s="14">
        <f>IF(AND(ITER&gt;0,I41=2),C41,NA())</f>
        <v>0</v>
      </c>
      <c r="R41" s="14">
        <f>IF(AND(ITER&gt;0,I41=3),B41,NA())</f>
        <v>0</v>
      </c>
      <c r="S41" s="14">
        <f>IF(AND(ITER&gt;0,I41=3),C41,NA())</f>
        <v>0</v>
      </c>
    </row>
    <row r="42" spans="1:19">
      <c r="A42" s="11" t="s">
        <v>42</v>
      </c>
      <c r="B42" s="11">
        <v>46</v>
      </c>
      <c r="C42" s="12">
        <v>2190</v>
      </c>
      <c r="D42" s="7">
        <f>STANDARDIZE(B42,AVERAGE($B$33:$B$122),_xlfn.STDEV.S($B$33:$B$122))</f>
        <v>0</v>
      </c>
      <c r="E42" s="7">
        <f>STANDARDIZE(C42,AVERAGE($C$33:$C$122),_xlfn.STDEV.S($C$33:$C$122))</f>
        <v>0</v>
      </c>
      <c r="F42" s="7">
        <f>SQRT((D42-$B$19)^2+(E42-$C$19)^2)</f>
        <v>0</v>
      </c>
      <c r="G42" s="7">
        <f>SQRT((D42-$B$20)^2+(E42-$C$20)^2)</f>
        <v>0</v>
      </c>
      <c r="H42" s="7">
        <f>SQRT((D42-$B$21)^2+(E42-$C$21)^2)</f>
        <v>0</v>
      </c>
      <c r="I42" s="13">
        <f>MATCH(MIN(F42:H42),F42:H42,0)</f>
        <v>0</v>
      </c>
      <c r="J42" s="7">
        <f>INDEX(F42:H42,I42)^2</f>
        <v>0</v>
      </c>
      <c r="L42" s="14">
        <f>IF(ITER=0,B42,NA())</f>
        <v>0</v>
      </c>
      <c r="M42" s="14">
        <f>IF(ITER=0,C42,NA())</f>
        <v>0</v>
      </c>
      <c r="N42" s="14">
        <f>IF(AND(ITER&gt;0,I42=1),B42,NA())</f>
        <v>0</v>
      </c>
      <c r="O42" s="14">
        <f>IF(AND(ITER&gt;0,I42=1),C42,NA())</f>
        <v>0</v>
      </c>
      <c r="P42" s="14">
        <f>IF(AND(ITER&gt;0,I42=2),B42,NA())</f>
        <v>0</v>
      </c>
      <c r="Q42" s="14">
        <f>IF(AND(ITER&gt;0,I42=2),C42,NA())</f>
        <v>0</v>
      </c>
      <c r="R42" s="14">
        <f>IF(AND(ITER&gt;0,I42=3),B42,NA())</f>
        <v>0</v>
      </c>
      <c r="S42" s="14">
        <f>IF(AND(ITER&gt;0,I42=3),C42,NA())</f>
        <v>0</v>
      </c>
    </row>
    <row r="43" spans="1:19">
      <c r="A43" s="11" t="s">
        <v>43</v>
      </c>
      <c r="B43" s="11">
        <v>21</v>
      </c>
      <c r="C43" s="12">
        <v>1360</v>
      </c>
      <c r="D43" s="7">
        <f>STANDARDIZE(B43,AVERAGE($B$33:$B$122),_xlfn.STDEV.S($B$33:$B$122))</f>
        <v>0</v>
      </c>
      <c r="E43" s="7">
        <f>STANDARDIZE(C43,AVERAGE($C$33:$C$122),_xlfn.STDEV.S($C$33:$C$122))</f>
        <v>0</v>
      </c>
      <c r="F43" s="7">
        <f>SQRT((D43-$B$19)^2+(E43-$C$19)^2)</f>
        <v>0</v>
      </c>
      <c r="G43" s="7">
        <f>SQRT((D43-$B$20)^2+(E43-$C$20)^2)</f>
        <v>0</v>
      </c>
      <c r="H43" s="7">
        <f>SQRT((D43-$B$21)^2+(E43-$C$21)^2)</f>
        <v>0</v>
      </c>
      <c r="I43" s="13">
        <f>MATCH(MIN(F43:H43),F43:H43,0)</f>
        <v>0</v>
      </c>
      <c r="J43" s="7">
        <f>INDEX(F43:H43,I43)^2</f>
        <v>0</v>
      </c>
      <c r="L43" s="14">
        <f>IF(ITER=0,B43,NA())</f>
        <v>0</v>
      </c>
      <c r="M43" s="14">
        <f>IF(ITER=0,C43,NA())</f>
        <v>0</v>
      </c>
      <c r="N43" s="14">
        <f>IF(AND(ITER&gt;0,I43=1),B43,NA())</f>
        <v>0</v>
      </c>
      <c r="O43" s="14">
        <f>IF(AND(ITER&gt;0,I43=1),C43,NA())</f>
        <v>0</v>
      </c>
      <c r="P43" s="14">
        <f>IF(AND(ITER&gt;0,I43=2),B43,NA())</f>
        <v>0</v>
      </c>
      <c r="Q43" s="14">
        <f>IF(AND(ITER&gt;0,I43=2),C43,NA())</f>
        <v>0</v>
      </c>
      <c r="R43" s="14">
        <f>IF(AND(ITER&gt;0,I43=3),B43,NA())</f>
        <v>0</v>
      </c>
      <c r="S43" s="14">
        <f>IF(AND(ITER&gt;0,I43=3),C43,NA())</f>
        <v>0</v>
      </c>
    </row>
    <row r="44" spans="1:19">
      <c r="A44" s="11" t="s">
        <v>44</v>
      </c>
      <c r="B44" s="11">
        <v>99</v>
      </c>
      <c r="C44" s="12">
        <v>1810</v>
      </c>
      <c r="D44" s="7">
        <f>STANDARDIZE(B44,AVERAGE($B$33:$B$122),_xlfn.STDEV.S($B$33:$B$122))</f>
        <v>0</v>
      </c>
      <c r="E44" s="7">
        <f>STANDARDIZE(C44,AVERAGE($C$33:$C$122),_xlfn.STDEV.S($C$33:$C$122))</f>
        <v>0</v>
      </c>
      <c r="F44" s="7">
        <f>SQRT((D44-$B$19)^2+(E44-$C$19)^2)</f>
        <v>0</v>
      </c>
      <c r="G44" s="7">
        <f>SQRT((D44-$B$20)^2+(E44-$C$20)^2)</f>
        <v>0</v>
      </c>
      <c r="H44" s="7">
        <f>SQRT((D44-$B$21)^2+(E44-$C$21)^2)</f>
        <v>0</v>
      </c>
      <c r="I44" s="13">
        <f>MATCH(MIN(F44:H44),F44:H44,0)</f>
        <v>0</v>
      </c>
      <c r="J44" s="7">
        <f>INDEX(F44:H44,I44)^2</f>
        <v>0</v>
      </c>
      <c r="L44" s="14">
        <f>IF(ITER=0,B44,NA())</f>
        <v>0</v>
      </c>
      <c r="M44" s="14">
        <f>IF(ITER=0,C44,NA())</f>
        <v>0</v>
      </c>
      <c r="N44" s="14">
        <f>IF(AND(ITER&gt;0,I44=1),B44,NA())</f>
        <v>0</v>
      </c>
      <c r="O44" s="14">
        <f>IF(AND(ITER&gt;0,I44=1),C44,NA())</f>
        <v>0</v>
      </c>
      <c r="P44" s="14">
        <f>IF(AND(ITER&gt;0,I44=2),B44,NA())</f>
        <v>0</v>
      </c>
      <c r="Q44" s="14">
        <f>IF(AND(ITER&gt;0,I44=2),C44,NA())</f>
        <v>0</v>
      </c>
      <c r="R44" s="14">
        <f>IF(AND(ITER&gt;0,I44=3),B44,NA())</f>
        <v>0</v>
      </c>
      <c r="S44" s="14">
        <f>IF(AND(ITER&gt;0,I44=3),C44,NA())</f>
        <v>0</v>
      </c>
    </row>
    <row r="45" spans="1:19">
      <c r="A45" s="11" t="s">
        <v>45</v>
      </c>
      <c r="B45" s="11">
        <v>91</v>
      </c>
      <c r="C45" s="12">
        <v>1610</v>
      </c>
      <c r="D45" s="7">
        <f>STANDARDIZE(B45,AVERAGE($B$33:$B$122),_xlfn.STDEV.S($B$33:$B$122))</f>
        <v>0</v>
      </c>
      <c r="E45" s="7">
        <f>STANDARDIZE(C45,AVERAGE($C$33:$C$122),_xlfn.STDEV.S($C$33:$C$122))</f>
        <v>0</v>
      </c>
      <c r="F45" s="7">
        <f>SQRT((D45-$B$19)^2+(E45-$C$19)^2)</f>
        <v>0</v>
      </c>
      <c r="G45" s="7">
        <f>SQRT((D45-$B$20)^2+(E45-$C$20)^2)</f>
        <v>0</v>
      </c>
      <c r="H45" s="7">
        <f>SQRT((D45-$B$21)^2+(E45-$C$21)^2)</f>
        <v>0</v>
      </c>
      <c r="I45" s="13">
        <f>MATCH(MIN(F45:H45),F45:H45,0)</f>
        <v>0</v>
      </c>
      <c r="J45" s="7">
        <f>INDEX(F45:H45,I45)^2</f>
        <v>0</v>
      </c>
      <c r="L45" s="14">
        <f>IF(ITER=0,B45,NA())</f>
        <v>0</v>
      </c>
      <c r="M45" s="14">
        <f>IF(ITER=0,C45,NA())</f>
        <v>0</v>
      </c>
      <c r="N45" s="14">
        <f>IF(AND(ITER&gt;0,I45=1),B45,NA())</f>
        <v>0</v>
      </c>
      <c r="O45" s="14">
        <f>IF(AND(ITER&gt;0,I45=1),C45,NA())</f>
        <v>0</v>
      </c>
      <c r="P45" s="14">
        <f>IF(AND(ITER&gt;0,I45=2),B45,NA())</f>
        <v>0</v>
      </c>
      <c r="Q45" s="14">
        <f>IF(AND(ITER&gt;0,I45=2),C45,NA())</f>
        <v>0</v>
      </c>
      <c r="R45" s="14">
        <f>IF(AND(ITER&gt;0,I45=3),B45,NA())</f>
        <v>0</v>
      </c>
      <c r="S45" s="14">
        <f>IF(AND(ITER&gt;0,I45=3),C45,NA())</f>
        <v>0</v>
      </c>
    </row>
    <row r="46" spans="1:19">
      <c r="A46" s="11" t="s">
        <v>46</v>
      </c>
      <c r="B46" s="11">
        <v>74</v>
      </c>
      <c r="C46" s="12">
        <v>1870</v>
      </c>
      <c r="D46" s="7">
        <f>STANDARDIZE(B46,AVERAGE($B$33:$B$122),_xlfn.STDEV.S($B$33:$B$122))</f>
        <v>0</v>
      </c>
      <c r="E46" s="7">
        <f>STANDARDIZE(C46,AVERAGE($C$33:$C$122),_xlfn.STDEV.S($C$33:$C$122))</f>
        <v>0</v>
      </c>
      <c r="F46" s="7">
        <f>SQRT((D46-$B$19)^2+(E46-$C$19)^2)</f>
        <v>0</v>
      </c>
      <c r="G46" s="7">
        <f>SQRT((D46-$B$20)^2+(E46-$C$20)^2)</f>
        <v>0</v>
      </c>
      <c r="H46" s="7">
        <f>SQRT((D46-$B$21)^2+(E46-$C$21)^2)</f>
        <v>0</v>
      </c>
      <c r="I46" s="13">
        <f>MATCH(MIN(F46:H46),F46:H46,0)</f>
        <v>0</v>
      </c>
      <c r="J46" s="7">
        <f>INDEX(F46:H46,I46)^2</f>
        <v>0</v>
      </c>
      <c r="L46" s="14">
        <f>IF(ITER=0,B46,NA())</f>
        <v>0</v>
      </c>
      <c r="M46" s="14">
        <f>IF(ITER=0,C46,NA())</f>
        <v>0</v>
      </c>
      <c r="N46" s="14">
        <f>IF(AND(ITER&gt;0,I46=1),B46,NA())</f>
        <v>0</v>
      </c>
      <c r="O46" s="14">
        <f>IF(AND(ITER&gt;0,I46=1),C46,NA())</f>
        <v>0</v>
      </c>
      <c r="P46" s="14">
        <f>IF(AND(ITER&gt;0,I46=2),B46,NA())</f>
        <v>0</v>
      </c>
      <c r="Q46" s="14">
        <f>IF(AND(ITER&gt;0,I46=2),C46,NA())</f>
        <v>0</v>
      </c>
      <c r="R46" s="14">
        <f>IF(AND(ITER&gt;0,I46=3),B46,NA())</f>
        <v>0</v>
      </c>
      <c r="S46" s="14">
        <f>IF(AND(ITER&gt;0,I46=3),C46,NA())</f>
        <v>0</v>
      </c>
    </row>
    <row r="47" spans="1:19">
      <c r="A47" s="11" t="s">
        <v>47</v>
      </c>
      <c r="B47" s="11">
        <v>13</v>
      </c>
      <c r="C47" s="12">
        <v>2620</v>
      </c>
      <c r="D47" s="7">
        <f>STANDARDIZE(B47,AVERAGE($B$33:$B$122),_xlfn.STDEV.S($B$33:$B$122))</f>
        <v>0</v>
      </c>
      <c r="E47" s="7">
        <f>STANDARDIZE(C47,AVERAGE($C$33:$C$122),_xlfn.STDEV.S($C$33:$C$122))</f>
        <v>0</v>
      </c>
      <c r="F47" s="7">
        <f>SQRT((D47-$B$19)^2+(E47-$C$19)^2)</f>
        <v>0</v>
      </c>
      <c r="G47" s="7">
        <f>SQRT((D47-$B$20)^2+(E47-$C$20)^2)</f>
        <v>0</v>
      </c>
      <c r="H47" s="7">
        <f>SQRT((D47-$B$21)^2+(E47-$C$21)^2)</f>
        <v>0</v>
      </c>
      <c r="I47" s="13">
        <f>MATCH(MIN(F47:H47),F47:H47,0)</f>
        <v>0</v>
      </c>
      <c r="J47" s="7">
        <f>INDEX(F47:H47,I47)^2</f>
        <v>0</v>
      </c>
      <c r="L47" s="14">
        <f>IF(ITER=0,B47,NA())</f>
        <v>0</v>
      </c>
      <c r="M47" s="14">
        <f>IF(ITER=0,C47,NA())</f>
        <v>0</v>
      </c>
      <c r="N47" s="14">
        <f>IF(AND(ITER&gt;0,I47=1),B47,NA())</f>
        <v>0</v>
      </c>
      <c r="O47" s="14">
        <f>IF(AND(ITER&gt;0,I47=1),C47,NA())</f>
        <v>0</v>
      </c>
      <c r="P47" s="14">
        <f>IF(AND(ITER&gt;0,I47=2),B47,NA())</f>
        <v>0</v>
      </c>
      <c r="Q47" s="14">
        <f>IF(AND(ITER&gt;0,I47=2),C47,NA())</f>
        <v>0</v>
      </c>
      <c r="R47" s="14">
        <f>IF(AND(ITER&gt;0,I47=3),B47,NA())</f>
        <v>0</v>
      </c>
      <c r="S47" s="14">
        <f>IF(AND(ITER&gt;0,I47=3),C47,NA())</f>
        <v>0</v>
      </c>
    </row>
    <row r="48" spans="1:19">
      <c r="A48" s="11" t="s">
        <v>48</v>
      </c>
      <c r="B48" s="11">
        <v>44</v>
      </c>
      <c r="C48" s="12">
        <v>3820</v>
      </c>
      <c r="D48" s="7">
        <f>STANDARDIZE(B48,AVERAGE($B$33:$B$122),_xlfn.STDEV.S($B$33:$B$122))</f>
        <v>0</v>
      </c>
      <c r="E48" s="7">
        <f>STANDARDIZE(C48,AVERAGE($C$33:$C$122),_xlfn.STDEV.S($C$33:$C$122))</f>
        <v>0</v>
      </c>
      <c r="F48" s="7">
        <f>SQRT((D48-$B$19)^2+(E48-$C$19)^2)</f>
        <v>0</v>
      </c>
      <c r="G48" s="7">
        <f>SQRT((D48-$B$20)^2+(E48-$C$20)^2)</f>
        <v>0</v>
      </c>
      <c r="H48" s="7">
        <f>SQRT((D48-$B$21)^2+(E48-$C$21)^2)</f>
        <v>0</v>
      </c>
      <c r="I48" s="13">
        <f>MATCH(MIN(F48:H48),F48:H48,0)</f>
        <v>0</v>
      </c>
      <c r="J48" s="7">
        <f>INDEX(F48:H48,I48)^2</f>
        <v>0</v>
      </c>
      <c r="L48" s="14">
        <f>IF(ITER=0,B48,NA())</f>
        <v>0</v>
      </c>
      <c r="M48" s="14">
        <f>IF(ITER=0,C48,NA())</f>
        <v>0</v>
      </c>
      <c r="N48" s="14">
        <f>IF(AND(ITER&gt;0,I48=1),B48,NA())</f>
        <v>0</v>
      </c>
      <c r="O48" s="14">
        <f>IF(AND(ITER&gt;0,I48=1),C48,NA())</f>
        <v>0</v>
      </c>
      <c r="P48" s="14">
        <f>IF(AND(ITER&gt;0,I48=2),B48,NA())</f>
        <v>0</v>
      </c>
      <c r="Q48" s="14">
        <f>IF(AND(ITER&gt;0,I48=2),C48,NA())</f>
        <v>0</v>
      </c>
      <c r="R48" s="14">
        <f>IF(AND(ITER&gt;0,I48=3),B48,NA())</f>
        <v>0</v>
      </c>
      <c r="S48" s="14">
        <f>IF(AND(ITER&gt;0,I48=3),C48,NA())</f>
        <v>0</v>
      </c>
    </row>
    <row r="49" spans="1:19">
      <c r="A49" s="11" t="s">
        <v>49</v>
      </c>
      <c r="B49" s="11">
        <v>17</v>
      </c>
      <c r="C49" s="12">
        <v>2300</v>
      </c>
      <c r="D49" s="7">
        <f>STANDARDIZE(B49,AVERAGE($B$33:$B$122),_xlfn.STDEV.S($B$33:$B$122))</f>
        <v>0</v>
      </c>
      <c r="E49" s="7">
        <f>STANDARDIZE(C49,AVERAGE($C$33:$C$122),_xlfn.STDEV.S($C$33:$C$122))</f>
        <v>0</v>
      </c>
      <c r="F49" s="7">
        <f>SQRT((D49-$B$19)^2+(E49-$C$19)^2)</f>
        <v>0</v>
      </c>
      <c r="G49" s="7">
        <f>SQRT((D49-$B$20)^2+(E49-$C$20)^2)</f>
        <v>0</v>
      </c>
      <c r="H49" s="7">
        <f>SQRT((D49-$B$21)^2+(E49-$C$21)^2)</f>
        <v>0</v>
      </c>
      <c r="I49" s="13">
        <f>MATCH(MIN(F49:H49),F49:H49,0)</f>
        <v>0</v>
      </c>
      <c r="J49" s="7">
        <f>INDEX(F49:H49,I49)^2</f>
        <v>0</v>
      </c>
      <c r="L49" s="14">
        <f>IF(ITER=0,B49,NA())</f>
        <v>0</v>
      </c>
      <c r="M49" s="14">
        <f>IF(ITER=0,C49,NA())</f>
        <v>0</v>
      </c>
      <c r="N49" s="14">
        <f>IF(AND(ITER&gt;0,I49=1),B49,NA())</f>
        <v>0</v>
      </c>
      <c r="O49" s="14">
        <f>IF(AND(ITER&gt;0,I49=1),C49,NA())</f>
        <v>0</v>
      </c>
      <c r="P49" s="14">
        <f>IF(AND(ITER&gt;0,I49=2),B49,NA())</f>
        <v>0</v>
      </c>
      <c r="Q49" s="14">
        <f>IF(AND(ITER&gt;0,I49=2),C49,NA())</f>
        <v>0</v>
      </c>
      <c r="R49" s="14">
        <f>IF(AND(ITER&gt;0,I49=3),B49,NA())</f>
        <v>0</v>
      </c>
      <c r="S49" s="14">
        <f>IF(AND(ITER&gt;0,I49=3),C49,NA())</f>
        <v>0</v>
      </c>
    </row>
    <row r="50" spans="1:19">
      <c r="A50" s="11" t="s">
        <v>50</v>
      </c>
      <c r="B50" s="11">
        <v>33</v>
      </c>
      <c r="C50" s="12">
        <v>5490</v>
      </c>
      <c r="D50" s="7">
        <f>STANDARDIZE(B50,AVERAGE($B$33:$B$122),_xlfn.STDEV.S($B$33:$B$122))</f>
        <v>0</v>
      </c>
      <c r="E50" s="7">
        <f>STANDARDIZE(C50,AVERAGE($C$33:$C$122),_xlfn.STDEV.S($C$33:$C$122))</f>
        <v>0</v>
      </c>
      <c r="F50" s="7">
        <f>SQRT((D50-$B$19)^2+(E50-$C$19)^2)</f>
        <v>0</v>
      </c>
      <c r="G50" s="7">
        <f>SQRT((D50-$B$20)^2+(E50-$C$20)^2)</f>
        <v>0</v>
      </c>
      <c r="H50" s="7">
        <f>SQRT((D50-$B$21)^2+(E50-$C$21)^2)</f>
        <v>0</v>
      </c>
      <c r="I50" s="13">
        <f>MATCH(MIN(F50:H50),F50:H50,0)</f>
        <v>0</v>
      </c>
      <c r="J50" s="7">
        <f>INDEX(F50:H50,I50)^2</f>
        <v>0</v>
      </c>
      <c r="L50" s="14">
        <f>IF(ITER=0,B50,NA())</f>
        <v>0</v>
      </c>
      <c r="M50" s="14">
        <f>IF(ITER=0,C50,NA())</f>
        <v>0</v>
      </c>
      <c r="N50" s="14">
        <f>IF(AND(ITER&gt;0,I50=1),B50,NA())</f>
        <v>0</v>
      </c>
      <c r="O50" s="14">
        <f>IF(AND(ITER&gt;0,I50=1),C50,NA())</f>
        <v>0</v>
      </c>
      <c r="P50" s="14">
        <f>IF(AND(ITER&gt;0,I50=2),B50,NA())</f>
        <v>0</v>
      </c>
      <c r="Q50" s="14">
        <f>IF(AND(ITER&gt;0,I50=2),C50,NA())</f>
        <v>0</v>
      </c>
      <c r="R50" s="14">
        <f>IF(AND(ITER&gt;0,I50=3),B50,NA())</f>
        <v>0</v>
      </c>
      <c r="S50" s="14">
        <f>IF(AND(ITER&gt;0,I50=3),C50,NA())</f>
        <v>0</v>
      </c>
    </row>
    <row r="51" spans="1:19">
      <c r="A51" s="11" t="s">
        <v>51</v>
      </c>
      <c r="B51" s="11">
        <v>80</v>
      </c>
      <c r="C51" s="12">
        <v>1960</v>
      </c>
      <c r="D51" s="7">
        <f>STANDARDIZE(B51,AVERAGE($B$33:$B$122),_xlfn.STDEV.S($B$33:$B$122))</f>
        <v>0</v>
      </c>
      <c r="E51" s="7">
        <f>STANDARDIZE(C51,AVERAGE($C$33:$C$122),_xlfn.STDEV.S($C$33:$C$122))</f>
        <v>0</v>
      </c>
      <c r="F51" s="7">
        <f>SQRT((D51-$B$19)^2+(E51-$C$19)^2)</f>
        <v>0</v>
      </c>
      <c r="G51" s="7">
        <f>SQRT((D51-$B$20)^2+(E51-$C$20)^2)</f>
        <v>0</v>
      </c>
      <c r="H51" s="7">
        <f>SQRT((D51-$B$21)^2+(E51-$C$21)^2)</f>
        <v>0</v>
      </c>
      <c r="I51" s="13">
        <f>MATCH(MIN(F51:H51),F51:H51,0)</f>
        <v>0</v>
      </c>
      <c r="J51" s="7">
        <f>INDEX(F51:H51,I51)^2</f>
        <v>0</v>
      </c>
      <c r="L51" s="14">
        <f>IF(ITER=0,B51,NA())</f>
        <v>0</v>
      </c>
      <c r="M51" s="14">
        <f>IF(ITER=0,C51,NA())</f>
        <v>0</v>
      </c>
      <c r="N51" s="14">
        <f>IF(AND(ITER&gt;0,I51=1),B51,NA())</f>
        <v>0</v>
      </c>
      <c r="O51" s="14">
        <f>IF(AND(ITER&gt;0,I51=1),C51,NA())</f>
        <v>0</v>
      </c>
      <c r="P51" s="14">
        <f>IF(AND(ITER&gt;0,I51=2),B51,NA())</f>
        <v>0</v>
      </c>
      <c r="Q51" s="14">
        <f>IF(AND(ITER&gt;0,I51=2),C51,NA())</f>
        <v>0</v>
      </c>
      <c r="R51" s="14">
        <f>IF(AND(ITER&gt;0,I51=3),B51,NA())</f>
        <v>0</v>
      </c>
      <c r="S51" s="14">
        <f>IF(AND(ITER&gt;0,I51=3),C51,NA())</f>
        <v>0</v>
      </c>
    </row>
    <row r="52" spans="1:19">
      <c r="A52" s="11" t="s">
        <v>52</v>
      </c>
      <c r="B52" s="11">
        <v>4</v>
      </c>
      <c r="C52" s="12">
        <v>2500</v>
      </c>
      <c r="D52" s="7">
        <f>STANDARDIZE(B52,AVERAGE($B$33:$B$122),_xlfn.STDEV.S($B$33:$B$122))</f>
        <v>0</v>
      </c>
      <c r="E52" s="7">
        <f>STANDARDIZE(C52,AVERAGE($C$33:$C$122),_xlfn.STDEV.S($C$33:$C$122))</f>
        <v>0</v>
      </c>
      <c r="F52" s="7">
        <f>SQRT((D52-$B$19)^2+(E52-$C$19)^2)</f>
        <v>0</v>
      </c>
      <c r="G52" s="7">
        <f>SQRT((D52-$B$20)^2+(E52-$C$20)^2)</f>
        <v>0</v>
      </c>
      <c r="H52" s="7">
        <f>SQRT((D52-$B$21)^2+(E52-$C$21)^2)</f>
        <v>0</v>
      </c>
      <c r="I52" s="13">
        <f>MATCH(MIN(F52:H52),F52:H52,0)</f>
        <v>0</v>
      </c>
      <c r="J52" s="7">
        <f>INDEX(F52:H52,I52)^2</f>
        <v>0</v>
      </c>
      <c r="L52" s="14">
        <f>IF(ITER=0,B52,NA())</f>
        <v>0</v>
      </c>
      <c r="M52" s="14">
        <f>IF(ITER=0,C52,NA())</f>
        <v>0</v>
      </c>
      <c r="N52" s="14">
        <f>IF(AND(ITER&gt;0,I52=1),B52,NA())</f>
        <v>0</v>
      </c>
      <c r="O52" s="14">
        <f>IF(AND(ITER&gt;0,I52=1),C52,NA())</f>
        <v>0</v>
      </c>
      <c r="P52" s="14">
        <f>IF(AND(ITER&gt;0,I52=2),B52,NA())</f>
        <v>0</v>
      </c>
      <c r="Q52" s="14">
        <f>IF(AND(ITER&gt;0,I52=2),C52,NA())</f>
        <v>0</v>
      </c>
      <c r="R52" s="14">
        <f>IF(AND(ITER&gt;0,I52=3),B52,NA())</f>
        <v>0</v>
      </c>
      <c r="S52" s="14">
        <f>IF(AND(ITER&gt;0,I52=3),C52,NA())</f>
        <v>0</v>
      </c>
    </row>
    <row r="53" spans="1:19">
      <c r="A53" s="11" t="s">
        <v>53</v>
      </c>
      <c r="B53" s="11">
        <v>93</v>
      </c>
      <c r="C53" s="12">
        <v>1990</v>
      </c>
      <c r="D53" s="7">
        <f>STANDARDIZE(B53,AVERAGE($B$33:$B$122),_xlfn.STDEV.S($B$33:$B$122))</f>
        <v>0</v>
      </c>
      <c r="E53" s="7">
        <f>STANDARDIZE(C53,AVERAGE($C$33:$C$122),_xlfn.STDEV.S($C$33:$C$122))</f>
        <v>0</v>
      </c>
      <c r="F53" s="7">
        <f>SQRT((D53-$B$19)^2+(E53-$C$19)^2)</f>
        <v>0</v>
      </c>
      <c r="G53" s="7">
        <f>SQRT((D53-$B$20)^2+(E53-$C$20)^2)</f>
        <v>0</v>
      </c>
      <c r="H53" s="7">
        <f>SQRT((D53-$B$21)^2+(E53-$C$21)^2)</f>
        <v>0</v>
      </c>
      <c r="I53" s="13">
        <f>MATCH(MIN(F53:H53),F53:H53,0)</f>
        <v>0</v>
      </c>
      <c r="J53" s="7">
        <f>INDEX(F53:H53,I53)^2</f>
        <v>0</v>
      </c>
      <c r="L53" s="14">
        <f>IF(ITER=0,B53,NA())</f>
        <v>0</v>
      </c>
      <c r="M53" s="14">
        <f>IF(ITER=0,C53,NA())</f>
        <v>0</v>
      </c>
      <c r="N53" s="14">
        <f>IF(AND(ITER&gt;0,I53=1),B53,NA())</f>
        <v>0</v>
      </c>
      <c r="O53" s="14">
        <f>IF(AND(ITER&gt;0,I53=1),C53,NA())</f>
        <v>0</v>
      </c>
      <c r="P53" s="14">
        <f>IF(AND(ITER&gt;0,I53=2),B53,NA())</f>
        <v>0</v>
      </c>
      <c r="Q53" s="14">
        <f>IF(AND(ITER&gt;0,I53=2),C53,NA())</f>
        <v>0</v>
      </c>
      <c r="R53" s="14">
        <f>IF(AND(ITER&gt;0,I53=3),B53,NA())</f>
        <v>0</v>
      </c>
      <c r="S53" s="14">
        <f>IF(AND(ITER&gt;0,I53=3),C53,NA())</f>
        <v>0</v>
      </c>
    </row>
    <row r="54" spans="1:19">
      <c r="A54" s="11" t="s">
        <v>54</v>
      </c>
      <c r="B54" s="11">
        <v>30</v>
      </c>
      <c r="C54" s="12">
        <v>4790</v>
      </c>
      <c r="D54" s="7">
        <f>STANDARDIZE(B54,AVERAGE($B$33:$B$122),_xlfn.STDEV.S($B$33:$B$122))</f>
        <v>0</v>
      </c>
      <c r="E54" s="7">
        <f>STANDARDIZE(C54,AVERAGE($C$33:$C$122),_xlfn.STDEV.S($C$33:$C$122))</f>
        <v>0</v>
      </c>
      <c r="F54" s="7">
        <f>SQRT((D54-$B$19)^2+(E54-$C$19)^2)</f>
        <v>0</v>
      </c>
      <c r="G54" s="7">
        <f>SQRT((D54-$B$20)^2+(E54-$C$20)^2)</f>
        <v>0</v>
      </c>
      <c r="H54" s="7">
        <f>SQRT((D54-$B$21)^2+(E54-$C$21)^2)</f>
        <v>0</v>
      </c>
      <c r="I54" s="13">
        <f>MATCH(MIN(F54:H54),F54:H54,0)</f>
        <v>0</v>
      </c>
      <c r="J54" s="7">
        <f>INDEX(F54:H54,I54)^2</f>
        <v>0</v>
      </c>
      <c r="L54" s="14">
        <f>IF(ITER=0,B54,NA())</f>
        <v>0</v>
      </c>
      <c r="M54" s="14">
        <f>IF(ITER=0,C54,NA())</f>
        <v>0</v>
      </c>
      <c r="N54" s="14">
        <f>IF(AND(ITER&gt;0,I54=1),B54,NA())</f>
        <v>0</v>
      </c>
      <c r="O54" s="14">
        <f>IF(AND(ITER&gt;0,I54=1),C54,NA())</f>
        <v>0</v>
      </c>
      <c r="P54" s="14">
        <f>IF(AND(ITER&gt;0,I54=2),B54,NA())</f>
        <v>0</v>
      </c>
      <c r="Q54" s="14">
        <f>IF(AND(ITER&gt;0,I54=2),C54,NA())</f>
        <v>0</v>
      </c>
      <c r="R54" s="14">
        <f>IF(AND(ITER&gt;0,I54=3),B54,NA())</f>
        <v>0</v>
      </c>
      <c r="S54" s="14">
        <f>IF(AND(ITER&gt;0,I54=3),C54,NA())</f>
        <v>0</v>
      </c>
    </row>
    <row r="55" spans="1:19">
      <c r="A55" s="11" t="s">
        <v>55</v>
      </c>
      <c r="B55" s="11">
        <v>21</v>
      </c>
      <c r="C55" s="12">
        <v>4460</v>
      </c>
      <c r="D55" s="7">
        <f>STANDARDIZE(B55,AVERAGE($B$33:$B$122),_xlfn.STDEV.S($B$33:$B$122))</f>
        <v>0</v>
      </c>
      <c r="E55" s="7">
        <f>STANDARDIZE(C55,AVERAGE($C$33:$C$122),_xlfn.STDEV.S($C$33:$C$122))</f>
        <v>0</v>
      </c>
      <c r="F55" s="7">
        <f>SQRT((D55-$B$19)^2+(E55-$C$19)^2)</f>
        <v>0</v>
      </c>
      <c r="G55" s="7">
        <f>SQRT((D55-$B$20)^2+(E55-$C$20)^2)</f>
        <v>0</v>
      </c>
      <c r="H55" s="7">
        <f>SQRT((D55-$B$21)^2+(E55-$C$21)^2)</f>
        <v>0</v>
      </c>
      <c r="I55" s="13">
        <f>MATCH(MIN(F55:H55),F55:H55,0)</f>
        <v>0</v>
      </c>
      <c r="J55" s="7">
        <f>INDEX(F55:H55,I55)^2</f>
        <v>0</v>
      </c>
      <c r="L55" s="14">
        <f>IF(ITER=0,B55,NA())</f>
        <v>0</v>
      </c>
      <c r="M55" s="14">
        <f>IF(ITER=0,C55,NA())</f>
        <v>0</v>
      </c>
      <c r="N55" s="14">
        <f>IF(AND(ITER&gt;0,I55=1),B55,NA())</f>
        <v>0</v>
      </c>
      <c r="O55" s="14">
        <f>IF(AND(ITER&gt;0,I55=1),C55,NA())</f>
        <v>0</v>
      </c>
      <c r="P55" s="14">
        <f>IF(AND(ITER&gt;0,I55=2),B55,NA())</f>
        <v>0</v>
      </c>
      <c r="Q55" s="14">
        <f>IF(AND(ITER&gt;0,I55=2),C55,NA())</f>
        <v>0</v>
      </c>
      <c r="R55" s="14">
        <f>IF(AND(ITER&gt;0,I55=3),B55,NA())</f>
        <v>0</v>
      </c>
      <c r="S55" s="14">
        <f>IF(AND(ITER&gt;0,I55=3),C55,NA())</f>
        <v>0</v>
      </c>
    </row>
    <row r="56" spans="1:19">
      <c r="A56" s="11" t="s">
        <v>56</v>
      </c>
      <c r="B56" s="11">
        <v>3</v>
      </c>
      <c r="C56" s="12">
        <v>2440</v>
      </c>
      <c r="D56" s="7">
        <f>STANDARDIZE(B56,AVERAGE($B$33:$B$122),_xlfn.STDEV.S($B$33:$B$122))</f>
        <v>0</v>
      </c>
      <c r="E56" s="7">
        <f>STANDARDIZE(C56,AVERAGE($C$33:$C$122),_xlfn.STDEV.S($C$33:$C$122))</f>
        <v>0</v>
      </c>
      <c r="F56" s="7">
        <f>SQRT((D56-$B$19)^2+(E56-$C$19)^2)</f>
        <v>0</v>
      </c>
      <c r="G56" s="7">
        <f>SQRT((D56-$B$20)^2+(E56-$C$20)^2)</f>
        <v>0</v>
      </c>
      <c r="H56" s="7">
        <f>SQRT((D56-$B$21)^2+(E56-$C$21)^2)</f>
        <v>0</v>
      </c>
      <c r="I56" s="13">
        <f>MATCH(MIN(F56:H56),F56:H56,0)</f>
        <v>0</v>
      </c>
      <c r="J56" s="7">
        <f>INDEX(F56:H56,I56)^2</f>
        <v>0</v>
      </c>
      <c r="L56" s="14">
        <f>IF(ITER=0,B56,NA())</f>
        <v>0</v>
      </c>
      <c r="M56" s="14">
        <f>IF(ITER=0,C56,NA())</f>
        <v>0</v>
      </c>
      <c r="N56" s="14">
        <f>IF(AND(ITER&gt;0,I56=1),B56,NA())</f>
        <v>0</v>
      </c>
      <c r="O56" s="14">
        <f>IF(AND(ITER&gt;0,I56=1),C56,NA())</f>
        <v>0</v>
      </c>
      <c r="P56" s="14">
        <f>IF(AND(ITER&gt;0,I56=2),B56,NA())</f>
        <v>0</v>
      </c>
      <c r="Q56" s="14">
        <f>IF(AND(ITER&gt;0,I56=2),C56,NA())</f>
        <v>0</v>
      </c>
      <c r="R56" s="14">
        <f>IF(AND(ITER&gt;0,I56=3),B56,NA())</f>
        <v>0</v>
      </c>
      <c r="S56" s="14">
        <f>IF(AND(ITER&gt;0,I56=3),C56,NA())</f>
        <v>0</v>
      </c>
    </row>
    <row r="57" spans="1:19">
      <c r="A57" s="11" t="s">
        <v>57</v>
      </c>
      <c r="B57" s="11">
        <v>58</v>
      </c>
      <c r="C57" s="12">
        <v>1570</v>
      </c>
      <c r="D57" s="7">
        <f>STANDARDIZE(B57,AVERAGE($B$33:$B$122),_xlfn.STDEV.S($B$33:$B$122))</f>
        <v>0</v>
      </c>
      <c r="E57" s="7">
        <f>STANDARDIZE(C57,AVERAGE($C$33:$C$122),_xlfn.STDEV.S($C$33:$C$122))</f>
        <v>0</v>
      </c>
      <c r="F57" s="7">
        <f>SQRT((D57-$B$19)^2+(E57-$C$19)^2)</f>
        <v>0</v>
      </c>
      <c r="G57" s="7">
        <f>SQRT((D57-$B$20)^2+(E57-$C$20)^2)</f>
        <v>0</v>
      </c>
      <c r="H57" s="7">
        <f>SQRT((D57-$B$21)^2+(E57-$C$21)^2)</f>
        <v>0</v>
      </c>
      <c r="I57" s="13">
        <f>MATCH(MIN(F57:H57),F57:H57,0)</f>
        <v>0</v>
      </c>
      <c r="J57" s="7">
        <f>INDEX(F57:H57,I57)^2</f>
        <v>0</v>
      </c>
      <c r="L57" s="14">
        <f>IF(ITER=0,B57,NA())</f>
        <v>0</v>
      </c>
      <c r="M57" s="14">
        <f>IF(ITER=0,C57,NA())</f>
        <v>0</v>
      </c>
      <c r="N57" s="14">
        <f>IF(AND(ITER&gt;0,I57=1),B57,NA())</f>
        <v>0</v>
      </c>
      <c r="O57" s="14">
        <f>IF(AND(ITER&gt;0,I57=1),C57,NA())</f>
        <v>0</v>
      </c>
      <c r="P57" s="14">
        <f>IF(AND(ITER&gt;0,I57=2),B57,NA())</f>
        <v>0</v>
      </c>
      <c r="Q57" s="14">
        <f>IF(AND(ITER&gt;0,I57=2),C57,NA())</f>
        <v>0</v>
      </c>
      <c r="R57" s="14">
        <f>IF(AND(ITER&gt;0,I57=3),B57,NA())</f>
        <v>0</v>
      </c>
      <c r="S57" s="14">
        <f>IF(AND(ITER&gt;0,I57=3),C57,NA())</f>
        <v>0</v>
      </c>
    </row>
    <row r="58" spans="1:19">
      <c r="A58" s="11" t="s">
        <v>58</v>
      </c>
      <c r="B58" s="11">
        <v>26</v>
      </c>
      <c r="C58" s="12">
        <v>3640</v>
      </c>
      <c r="D58" s="7">
        <f>STANDARDIZE(B58,AVERAGE($B$33:$B$122),_xlfn.STDEV.S($B$33:$B$122))</f>
        <v>0</v>
      </c>
      <c r="E58" s="7">
        <f>STANDARDIZE(C58,AVERAGE($C$33:$C$122),_xlfn.STDEV.S($C$33:$C$122))</f>
        <v>0</v>
      </c>
      <c r="F58" s="7">
        <f>SQRT((D58-$B$19)^2+(E58-$C$19)^2)</f>
        <v>0</v>
      </c>
      <c r="G58" s="7">
        <f>SQRT((D58-$B$20)^2+(E58-$C$20)^2)</f>
        <v>0</v>
      </c>
      <c r="H58" s="7">
        <f>SQRT((D58-$B$21)^2+(E58-$C$21)^2)</f>
        <v>0</v>
      </c>
      <c r="I58" s="13">
        <f>MATCH(MIN(F58:H58),F58:H58,0)</f>
        <v>0</v>
      </c>
      <c r="J58" s="7">
        <f>INDEX(F58:H58,I58)^2</f>
        <v>0</v>
      </c>
      <c r="L58" s="14">
        <f>IF(ITER=0,B58,NA())</f>
        <v>0</v>
      </c>
      <c r="M58" s="14">
        <f>IF(ITER=0,C58,NA())</f>
        <v>0</v>
      </c>
      <c r="N58" s="14">
        <f>IF(AND(ITER&gt;0,I58=1),B58,NA())</f>
        <v>0</v>
      </c>
      <c r="O58" s="14">
        <f>IF(AND(ITER&gt;0,I58=1),C58,NA())</f>
        <v>0</v>
      </c>
      <c r="P58" s="14">
        <f>IF(AND(ITER&gt;0,I58=2),B58,NA())</f>
        <v>0</v>
      </c>
      <c r="Q58" s="14">
        <f>IF(AND(ITER&gt;0,I58=2),C58,NA())</f>
        <v>0</v>
      </c>
      <c r="R58" s="14">
        <f>IF(AND(ITER&gt;0,I58=3),B58,NA())</f>
        <v>0</v>
      </c>
      <c r="S58" s="14">
        <f>IF(AND(ITER&gt;0,I58=3),C58,NA())</f>
        <v>0</v>
      </c>
    </row>
    <row r="59" spans="1:19">
      <c r="A59" s="11" t="s">
        <v>59</v>
      </c>
      <c r="B59" s="11">
        <v>45</v>
      </c>
      <c r="C59" s="12">
        <v>1700</v>
      </c>
      <c r="D59" s="7">
        <f>STANDARDIZE(B59,AVERAGE($B$33:$B$122),_xlfn.STDEV.S($B$33:$B$122))</f>
        <v>0</v>
      </c>
      <c r="E59" s="7">
        <f>STANDARDIZE(C59,AVERAGE($C$33:$C$122),_xlfn.STDEV.S($C$33:$C$122))</f>
        <v>0</v>
      </c>
      <c r="F59" s="7">
        <f>SQRT((D59-$B$19)^2+(E59-$C$19)^2)</f>
        <v>0</v>
      </c>
      <c r="G59" s="7">
        <f>SQRT((D59-$B$20)^2+(E59-$C$20)^2)</f>
        <v>0</v>
      </c>
      <c r="H59" s="7">
        <f>SQRT((D59-$B$21)^2+(E59-$C$21)^2)</f>
        <v>0</v>
      </c>
      <c r="I59" s="13">
        <f>MATCH(MIN(F59:H59),F59:H59,0)</f>
        <v>0</v>
      </c>
      <c r="J59" s="7">
        <f>INDEX(F59:H59,I59)^2</f>
        <v>0</v>
      </c>
      <c r="L59" s="14">
        <f>IF(ITER=0,B59,NA())</f>
        <v>0</v>
      </c>
      <c r="M59" s="14">
        <f>IF(ITER=0,C59,NA())</f>
        <v>0</v>
      </c>
      <c r="N59" s="14">
        <f>IF(AND(ITER&gt;0,I59=1),B59,NA())</f>
        <v>0</v>
      </c>
      <c r="O59" s="14">
        <f>IF(AND(ITER&gt;0,I59=1),C59,NA())</f>
        <v>0</v>
      </c>
      <c r="P59" s="14">
        <f>IF(AND(ITER&gt;0,I59=2),B59,NA())</f>
        <v>0</v>
      </c>
      <c r="Q59" s="14">
        <f>IF(AND(ITER&gt;0,I59=2),C59,NA())</f>
        <v>0</v>
      </c>
      <c r="R59" s="14">
        <f>IF(AND(ITER&gt;0,I59=3),B59,NA())</f>
        <v>0</v>
      </c>
      <c r="S59" s="14">
        <f>IF(AND(ITER&gt;0,I59=3),C59,NA())</f>
        <v>0</v>
      </c>
    </row>
    <row r="60" spans="1:19">
      <c r="A60" s="11" t="s">
        <v>60</v>
      </c>
      <c r="B60" s="11">
        <v>36</v>
      </c>
      <c r="C60" s="12">
        <v>4020</v>
      </c>
      <c r="D60" s="7">
        <f>STANDARDIZE(B60,AVERAGE($B$33:$B$122),_xlfn.STDEV.S($B$33:$B$122))</f>
        <v>0</v>
      </c>
      <c r="E60" s="7">
        <f>STANDARDIZE(C60,AVERAGE($C$33:$C$122),_xlfn.STDEV.S($C$33:$C$122))</f>
        <v>0</v>
      </c>
      <c r="F60" s="7">
        <f>SQRT((D60-$B$19)^2+(E60-$C$19)^2)</f>
        <v>0</v>
      </c>
      <c r="G60" s="7">
        <f>SQRT((D60-$B$20)^2+(E60-$C$20)^2)</f>
        <v>0</v>
      </c>
      <c r="H60" s="7">
        <f>SQRT((D60-$B$21)^2+(E60-$C$21)^2)</f>
        <v>0</v>
      </c>
      <c r="I60" s="13">
        <f>MATCH(MIN(F60:H60),F60:H60,0)</f>
        <v>0</v>
      </c>
      <c r="J60" s="7">
        <f>INDEX(F60:H60,I60)^2</f>
        <v>0</v>
      </c>
      <c r="L60" s="14">
        <f>IF(ITER=0,B60,NA())</f>
        <v>0</v>
      </c>
      <c r="M60" s="14">
        <f>IF(ITER=0,C60,NA())</f>
        <v>0</v>
      </c>
      <c r="N60" s="14">
        <f>IF(AND(ITER&gt;0,I60=1),B60,NA())</f>
        <v>0</v>
      </c>
      <c r="O60" s="14">
        <f>IF(AND(ITER&gt;0,I60=1),C60,NA())</f>
        <v>0</v>
      </c>
      <c r="P60" s="14">
        <f>IF(AND(ITER&gt;0,I60=2),B60,NA())</f>
        <v>0</v>
      </c>
      <c r="Q60" s="14">
        <f>IF(AND(ITER&gt;0,I60=2),C60,NA())</f>
        <v>0</v>
      </c>
      <c r="R60" s="14">
        <f>IF(AND(ITER&gt;0,I60=3),B60,NA())</f>
        <v>0</v>
      </c>
      <c r="S60" s="14">
        <f>IF(AND(ITER&gt;0,I60=3),C60,NA())</f>
        <v>0</v>
      </c>
    </row>
    <row r="61" spans="1:19">
      <c r="A61" s="11" t="s">
        <v>61</v>
      </c>
      <c r="B61" s="11">
        <v>79</v>
      </c>
      <c r="C61" s="12">
        <v>1560</v>
      </c>
      <c r="D61" s="7">
        <f>STANDARDIZE(B61,AVERAGE($B$33:$B$122),_xlfn.STDEV.S($B$33:$B$122))</f>
        <v>0</v>
      </c>
      <c r="E61" s="7">
        <f>STANDARDIZE(C61,AVERAGE($C$33:$C$122),_xlfn.STDEV.S($C$33:$C$122))</f>
        <v>0</v>
      </c>
      <c r="F61" s="7">
        <f>SQRT((D61-$B$19)^2+(E61-$C$19)^2)</f>
        <v>0</v>
      </c>
      <c r="G61" s="7">
        <f>SQRT((D61-$B$20)^2+(E61-$C$20)^2)</f>
        <v>0</v>
      </c>
      <c r="H61" s="7">
        <f>SQRT((D61-$B$21)^2+(E61-$C$21)^2)</f>
        <v>0</v>
      </c>
      <c r="I61" s="13">
        <f>MATCH(MIN(F61:H61),F61:H61,0)</f>
        <v>0</v>
      </c>
      <c r="J61" s="7">
        <f>INDEX(F61:H61,I61)^2</f>
        <v>0</v>
      </c>
      <c r="L61" s="14">
        <f>IF(ITER=0,B61,NA())</f>
        <v>0</v>
      </c>
      <c r="M61" s="14">
        <f>IF(ITER=0,C61,NA())</f>
        <v>0</v>
      </c>
      <c r="N61" s="14">
        <f>IF(AND(ITER&gt;0,I61=1),B61,NA())</f>
        <v>0</v>
      </c>
      <c r="O61" s="14">
        <f>IF(AND(ITER&gt;0,I61=1),C61,NA())</f>
        <v>0</v>
      </c>
      <c r="P61" s="14">
        <f>IF(AND(ITER&gt;0,I61=2),B61,NA())</f>
        <v>0</v>
      </c>
      <c r="Q61" s="14">
        <f>IF(AND(ITER&gt;0,I61=2),C61,NA())</f>
        <v>0</v>
      </c>
      <c r="R61" s="14">
        <f>IF(AND(ITER&gt;0,I61=3),B61,NA())</f>
        <v>0</v>
      </c>
      <c r="S61" s="14">
        <f>IF(AND(ITER&gt;0,I61=3),C61,NA())</f>
        <v>0</v>
      </c>
    </row>
    <row r="62" spans="1:19">
      <c r="A62" s="11" t="s">
        <v>62</v>
      </c>
      <c r="B62" s="11">
        <v>30</v>
      </c>
      <c r="C62" s="12">
        <v>4540</v>
      </c>
      <c r="D62" s="7">
        <f>STANDARDIZE(B62,AVERAGE($B$33:$B$122),_xlfn.STDEV.S($B$33:$B$122))</f>
        <v>0</v>
      </c>
      <c r="E62" s="7">
        <f>STANDARDIZE(C62,AVERAGE($C$33:$C$122),_xlfn.STDEV.S($C$33:$C$122))</f>
        <v>0</v>
      </c>
      <c r="F62" s="7">
        <f>SQRT((D62-$B$19)^2+(E62-$C$19)^2)</f>
        <v>0</v>
      </c>
      <c r="G62" s="7">
        <f>SQRT((D62-$B$20)^2+(E62-$C$20)^2)</f>
        <v>0</v>
      </c>
      <c r="H62" s="7">
        <f>SQRT((D62-$B$21)^2+(E62-$C$21)^2)</f>
        <v>0</v>
      </c>
      <c r="I62" s="13">
        <f>MATCH(MIN(F62:H62),F62:H62,0)</f>
        <v>0</v>
      </c>
      <c r="J62" s="7">
        <f>INDEX(F62:H62,I62)^2</f>
        <v>0</v>
      </c>
      <c r="L62" s="14">
        <f>IF(ITER=0,B62,NA())</f>
        <v>0</v>
      </c>
      <c r="M62" s="14">
        <f>IF(ITER=0,C62,NA())</f>
        <v>0</v>
      </c>
      <c r="N62" s="14">
        <f>IF(AND(ITER&gt;0,I62=1),B62,NA())</f>
        <v>0</v>
      </c>
      <c r="O62" s="14">
        <f>IF(AND(ITER&gt;0,I62=1),C62,NA())</f>
        <v>0</v>
      </c>
      <c r="P62" s="14">
        <f>IF(AND(ITER&gt;0,I62=2),B62,NA())</f>
        <v>0</v>
      </c>
      <c r="Q62" s="14">
        <f>IF(AND(ITER&gt;0,I62=2),C62,NA())</f>
        <v>0</v>
      </c>
      <c r="R62" s="14">
        <f>IF(AND(ITER&gt;0,I62=3),B62,NA())</f>
        <v>0</v>
      </c>
      <c r="S62" s="14">
        <f>IF(AND(ITER&gt;0,I62=3),C62,NA())</f>
        <v>0</v>
      </c>
    </row>
    <row r="63" spans="1:19">
      <c r="A63" s="11" t="s">
        <v>63</v>
      </c>
      <c r="B63" s="11">
        <v>46</v>
      </c>
      <c r="C63" s="12">
        <v>3290</v>
      </c>
      <c r="D63" s="7">
        <f>STANDARDIZE(B63,AVERAGE($B$33:$B$122),_xlfn.STDEV.S($B$33:$B$122))</f>
        <v>0</v>
      </c>
      <c r="E63" s="7">
        <f>STANDARDIZE(C63,AVERAGE($C$33:$C$122),_xlfn.STDEV.S($C$33:$C$122))</f>
        <v>0</v>
      </c>
      <c r="F63" s="7">
        <f>SQRT((D63-$B$19)^2+(E63-$C$19)^2)</f>
        <v>0</v>
      </c>
      <c r="G63" s="7">
        <f>SQRT((D63-$B$20)^2+(E63-$C$20)^2)</f>
        <v>0</v>
      </c>
      <c r="H63" s="7">
        <f>SQRT((D63-$B$21)^2+(E63-$C$21)^2)</f>
        <v>0</v>
      </c>
      <c r="I63" s="13">
        <f>MATCH(MIN(F63:H63),F63:H63,0)</f>
        <v>0</v>
      </c>
      <c r="J63" s="7">
        <f>INDEX(F63:H63,I63)^2</f>
        <v>0</v>
      </c>
      <c r="L63" s="14">
        <f>IF(ITER=0,B63,NA())</f>
        <v>0</v>
      </c>
      <c r="M63" s="14">
        <f>IF(ITER=0,C63,NA())</f>
        <v>0</v>
      </c>
      <c r="N63" s="14">
        <f>IF(AND(ITER&gt;0,I63=1),B63,NA())</f>
        <v>0</v>
      </c>
      <c r="O63" s="14">
        <f>IF(AND(ITER&gt;0,I63=1),C63,NA())</f>
        <v>0</v>
      </c>
      <c r="P63" s="14">
        <f>IF(AND(ITER&gt;0,I63=2),B63,NA())</f>
        <v>0</v>
      </c>
      <c r="Q63" s="14">
        <f>IF(AND(ITER&gt;0,I63=2),C63,NA())</f>
        <v>0</v>
      </c>
      <c r="R63" s="14">
        <f>IF(AND(ITER&gt;0,I63=3),B63,NA())</f>
        <v>0</v>
      </c>
      <c r="S63" s="14">
        <f>IF(AND(ITER&gt;0,I63=3),C63,NA())</f>
        <v>0</v>
      </c>
    </row>
    <row r="64" spans="1:19">
      <c r="A64" s="11" t="s">
        <v>64</v>
      </c>
      <c r="B64" s="11">
        <v>83</v>
      </c>
      <c r="C64" s="12">
        <v>2070</v>
      </c>
      <c r="D64" s="7">
        <f>STANDARDIZE(B64,AVERAGE($B$33:$B$122),_xlfn.STDEV.S($B$33:$B$122))</f>
        <v>0</v>
      </c>
      <c r="E64" s="7">
        <f>STANDARDIZE(C64,AVERAGE($C$33:$C$122),_xlfn.STDEV.S($C$33:$C$122))</f>
        <v>0</v>
      </c>
      <c r="F64" s="7">
        <f>SQRT((D64-$B$19)^2+(E64-$C$19)^2)</f>
        <v>0</v>
      </c>
      <c r="G64" s="7">
        <f>SQRT((D64-$B$20)^2+(E64-$C$20)^2)</f>
        <v>0</v>
      </c>
      <c r="H64" s="7">
        <f>SQRT((D64-$B$21)^2+(E64-$C$21)^2)</f>
        <v>0</v>
      </c>
      <c r="I64" s="13">
        <f>MATCH(MIN(F64:H64),F64:H64,0)</f>
        <v>0</v>
      </c>
      <c r="J64" s="7">
        <f>INDEX(F64:H64,I64)^2</f>
        <v>0</v>
      </c>
      <c r="L64" s="14">
        <f>IF(ITER=0,B64,NA())</f>
        <v>0</v>
      </c>
      <c r="M64" s="14">
        <f>IF(ITER=0,C64,NA())</f>
        <v>0</v>
      </c>
      <c r="N64" s="14">
        <f>IF(AND(ITER&gt;0,I64=1),B64,NA())</f>
        <v>0</v>
      </c>
      <c r="O64" s="14">
        <f>IF(AND(ITER&gt;0,I64=1),C64,NA())</f>
        <v>0</v>
      </c>
      <c r="P64" s="14">
        <f>IF(AND(ITER&gt;0,I64=2),B64,NA())</f>
        <v>0</v>
      </c>
      <c r="Q64" s="14">
        <f>IF(AND(ITER&gt;0,I64=2),C64,NA())</f>
        <v>0</v>
      </c>
      <c r="R64" s="14">
        <f>IF(AND(ITER&gt;0,I64=3),B64,NA())</f>
        <v>0</v>
      </c>
      <c r="S64" s="14">
        <f>IF(AND(ITER&gt;0,I64=3),C64,NA())</f>
        <v>0</v>
      </c>
    </row>
    <row r="65" spans="1:19">
      <c r="A65" s="11" t="s">
        <v>65</v>
      </c>
      <c r="B65" s="11">
        <v>32</v>
      </c>
      <c r="C65" s="12">
        <v>4130</v>
      </c>
      <c r="D65" s="7">
        <f>STANDARDIZE(B65,AVERAGE($B$33:$B$122),_xlfn.STDEV.S($B$33:$B$122))</f>
        <v>0</v>
      </c>
      <c r="E65" s="7">
        <f>STANDARDIZE(C65,AVERAGE($C$33:$C$122),_xlfn.STDEV.S($C$33:$C$122))</f>
        <v>0</v>
      </c>
      <c r="F65" s="7">
        <f>SQRT((D65-$B$19)^2+(E65-$C$19)^2)</f>
        <v>0</v>
      </c>
      <c r="G65" s="7">
        <f>SQRT((D65-$B$20)^2+(E65-$C$20)^2)</f>
        <v>0</v>
      </c>
      <c r="H65" s="7">
        <f>SQRT((D65-$B$21)^2+(E65-$C$21)^2)</f>
        <v>0</v>
      </c>
      <c r="I65" s="13">
        <f>MATCH(MIN(F65:H65),F65:H65,0)</f>
        <v>0</v>
      </c>
      <c r="J65" s="7">
        <f>INDEX(F65:H65,I65)^2</f>
        <v>0</v>
      </c>
      <c r="L65" s="14">
        <f>IF(ITER=0,B65,NA())</f>
        <v>0</v>
      </c>
      <c r="M65" s="14">
        <f>IF(ITER=0,C65,NA())</f>
        <v>0</v>
      </c>
      <c r="N65" s="14">
        <f>IF(AND(ITER&gt;0,I65=1),B65,NA())</f>
        <v>0</v>
      </c>
      <c r="O65" s="14">
        <f>IF(AND(ITER&gt;0,I65=1),C65,NA())</f>
        <v>0</v>
      </c>
      <c r="P65" s="14">
        <f>IF(AND(ITER&gt;0,I65=2),B65,NA())</f>
        <v>0</v>
      </c>
      <c r="Q65" s="14">
        <f>IF(AND(ITER&gt;0,I65=2),C65,NA())</f>
        <v>0</v>
      </c>
      <c r="R65" s="14">
        <f>IF(AND(ITER&gt;0,I65=3),B65,NA())</f>
        <v>0</v>
      </c>
      <c r="S65" s="14">
        <f>IF(AND(ITER&gt;0,I65=3),C65,NA())</f>
        <v>0</v>
      </c>
    </row>
    <row r="66" spans="1:19">
      <c r="A66" s="11" t="s">
        <v>66</v>
      </c>
      <c r="B66" s="11">
        <v>40</v>
      </c>
      <c r="C66" s="12">
        <v>2830</v>
      </c>
      <c r="D66" s="7">
        <f>STANDARDIZE(B66,AVERAGE($B$33:$B$122),_xlfn.STDEV.S($B$33:$B$122))</f>
        <v>0</v>
      </c>
      <c r="E66" s="7">
        <f>STANDARDIZE(C66,AVERAGE($C$33:$C$122),_xlfn.STDEV.S($C$33:$C$122))</f>
        <v>0</v>
      </c>
      <c r="F66" s="7">
        <f>SQRT((D66-$B$19)^2+(E66-$C$19)^2)</f>
        <v>0</v>
      </c>
      <c r="G66" s="7">
        <f>SQRT((D66-$B$20)^2+(E66-$C$20)^2)</f>
        <v>0</v>
      </c>
      <c r="H66" s="7">
        <f>SQRT((D66-$B$21)^2+(E66-$C$21)^2)</f>
        <v>0</v>
      </c>
      <c r="I66" s="13">
        <f>MATCH(MIN(F66:H66),F66:H66,0)</f>
        <v>0</v>
      </c>
      <c r="J66" s="7">
        <f>INDEX(F66:H66,I66)^2</f>
        <v>0</v>
      </c>
      <c r="L66" s="14">
        <f>IF(ITER=0,B66,NA())</f>
        <v>0</v>
      </c>
      <c r="M66" s="14">
        <f>IF(ITER=0,C66,NA())</f>
        <v>0</v>
      </c>
      <c r="N66" s="14">
        <f>IF(AND(ITER&gt;0,I66=1),B66,NA())</f>
        <v>0</v>
      </c>
      <c r="O66" s="14">
        <f>IF(AND(ITER&gt;0,I66=1),C66,NA())</f>
        <v>0</v>
      </c>
      <c r="P66" s="14">
        <f>IF(AND(ITER&gt;0,I66=2),B66,NA())</f>
        <v>0</v>
      </c>
      <c r="Q66" s="14">
        <f>IF(AND(ITER&gt;0,I66=2),C66,NA())</f>
        <v>0</v>
      </c>
      <c r="R66" s="14">
        <f>IF(AND(ITER&gt;0,I66=3),B66,NA())</f>
        <v>0</v>
      </c>
      <c r="S66" s="14">
        <f>IF(AND(ITER&gt;0,I66=3),C66,NA())</f>
        <v>0</v>
      </c>
    </row>
    <row r="67" spans="1:19">
      <c r="A67" s="11" t="s">
        <v>67</v>
      </c>
      <c r="B67" s="11">
        <v>92</v>
      </c>
      <c r="C67" s="12">
        <v>2120</v>
      </c>
      <c r="D67" s="7">
        <f>STANDARDIZE(B67,AVERAGE($B$33:$B$122),_xlfn.STDEV.S($B$33:$B$122))</f>
        <v>0</v>
      </c>
      <c r="E67" s="7">
        <f>STANDARDIZE(C67,AVERAGE($C$33:$C$122),_xlfn.STDEV.S($C$33:$C$122))</f>
        <v>0</v>
      </c>
      <c r="F67" s="7">
        <f>SQRT((D67-$B$19)^2+(E67-$C$19)^2)</f>
        <v>0</v>
      </c>
      <c r="G67" s="7">
        <f>SQRT((D67-$B$20)^2+(E67-$C$20)^2)</f>
        <v>0</v>
      </c>
      <c r="H67" s="7">
        <f>SQRT((D67-$B$21)^2+(E67-$C$21)^2)</f>
        <v>0</v>
      </c>
      <c r="I67" s="13">
        <f>MATCH(MIN(F67:H67),F67:H67,0)</f>
        <v>0</v>
      </c>
      <c r="J67" s="7">
        <f>INDEX(F67:H67,I67)^2</f>
        <v>0</v>
      </c>
      <c r="L67" s="14">
        <f>IF(ITER=0,B67,NA())</f>
        <v>0</v>
      </c>
      <c r="M67" s="14">
        <f>IF(ITER=0,C67,NA())</f>
        <v>0</v>
      </c>
      <c r="N67" s="14">
        <f>IF(AND(ITER&gt;0,I67=1),B67,NA())</f>
        <v>0</v>
      </c>
      <c r="O67" s="14">
        <f>IF(AND(ITER&gt;0,I67=1),C67,NA())</f>
        <v>0</v>
      </c>
      <c r="P67" s="14">
        <f>IF(AND(ITER&gt;0,I67=2),B67,NA())</f>
        <v>0</v>
      </c>
      <c r="Q67" s="14">
        <f>IF(AND(ITER&gt;0,I67=2),C67,NA())</f>
        <v>0</v>
      </c>
      <c r="R67" s="14">
        <f>IF(AND(ITER&gt;0,I67=3),B67,NA())</f>
        <v>0</v>
      </c>
      <c r="S67" s="14">
        <f>IF(AND(ITER&gt;0,I67=3),C67,NA())</f>
        <v>0</v>
      </c>
    </row>
    <row r="68" spans="1:19">
      <c r="A68" s="11" t="s">
        <v>68</v>
      </c>
      <c r="B68" s="11">
        <v>51</v>
      </c>
      <c r="C68" s="12">
        <v>1970</v>
      </c>
      <c r="D68" s="7">
        <f>STANDARDIZE(B68,AVERAGE($B$33:$B$122),_xlfn.STDEV.S($B$33:$B$122))</f>
        <v>0</v>
      </c>
      <c r="E68" s="7">
        <f>STANDARDIZE(C68,AVERAGE($C$33:$C$122),_xlfn.STDEV.S($C$33:$C$122))</f>
        <v>0</v>
      </c>
      <c r="F68" s="7">
        <f>SQRT((D68-$B$19)^2+(E68-$C$19)^2)</f>
        <v>0</v>
      </c>
      <c r="G68" s="7">
        <f>SQRT((D68-$B$20)^2+(E68-$C$20)^2)</f>
        <v>0</v>
      </c>
      <c r="H68" s="7">
        <f>SQRT((D68-$B$21)^2+(E68-$C$21)^2)</f>
        <v>0</v>
      </c>
      <c r="I68" s="13">
        <f>MATCH(MIN(F68:H68),F68:H68,0)</f>
        <v>0</v>
      </c>
      <c r="J68" s="7">
        <f>INDEX(F68:H68,I68)^2</f>
        <v>0</v>
      </c>
      <c r="L68" s="14">
        <f>IF(ITER=0,B68,NA())</f>
        <v>0</v>
      </c>
      <c r="M68" s="14">
        <f>IF(ITER=0,C68,NA())</f>
        <v>0</v>
      </c>
      <c r="N68" s="14">
        <f>IF(AND(ITER&gt;0,I68=1),B68,NA())</f>
        <v>0</v>
      </c>
      <c r="O68" s="14">
        <f>IF(AND(ITER&gt;0,I68=1),C68,NA())</f>
        <v>0</v>
      </c>
      <c r="P68" s="14">
        <f>IF(AND(ITER&gt;0,I68=2),B68,NA())</f>
        <v>0</v>
      </c>
      <c r="Q68" s="14">
        <f>IF(AND(ITER&gt;0,I68=2),C68,NA())</f>
        <v>0</v>
      </c>
      <c r="R68" s="14">
        <f>IF(AND(ITER&gt;0,I68=3),B68,NA())</f>
        <v>0</v>
      </c>
      <c r="S68" s="14">
        <f>IF(AND(ITER&gt;0,I68=3),C68,NA())</f>
        <v>0</v>
      </c>
    </row>
    <row r="69" spans="1:19">
      <c r="A69" s="11" t="s">
        <v>69</v>
      </c>
      <c r="B69" s="11">
        <v>28</v>
      </c>
      <c r="C69" s="12">
        <v>2700</v>
      </c>
      <c r="D69" s="7">
        <f>STANDARDIZE(B69,AVERAGE($B$33:$B$122),_xlfn.STDEV.S($B$33:$B$122))</f>
        <v>0</v>
      </c>
      <c r="E69" s="7">
        <f>STANDARDIZE(C69,AVERAGE($C$33:$C$122),_xlfn.STDEV.S($C$33:$C$122))</f>
        <v>0</v>
      </c>
      <c r="F69" s="7">
        <f>SQRT((D69-$B$19)^2+(E69-$C$19)^2)</f>
        <v>0</v>
      </c>
      <c r="G69" s="7">
        <f>SQRT((D69-$B$20)^2+(E69-$C$20)^2)</f>
        <v>0</v>
      </c>
      <c r="H69" s="7">
        <f>SQRT((D69-$B$21)^2+(E69-$C$21)^2)</f>
        <v>0</v>
      </c>
      <c r="I69" s="13">
        <f>MATCH(MIN(F69:H69),F69:H69,0)</f>
        <v>0</v>
      </c>
      <c r="J69" s="7">
        <f>INDEX(F69:H69,I69)^2</f>
        <v>0</v>
      </c>
      <c r="L69" s="14">
        <f>IF(ITER=0,B69,NA())</f>
        <v>0</v>
      </c>
      <c r="M69" s="14">
        <f>IF(ITER=0,C69,NA())</f>
        <v>0</v>
      </c>
      <c r="N69" s="14">
        <f>IF(AND(ITER&gt;0,I69=1),B69,NA())</f>
        <v>0</v>
      </c>
      <c r="O69" s="14">
        <f>IF(AND(ITER&gt;0,I69=1),C69,NA())</f>
        <v>0</v>
      </c>
      <c r="P69" s="14">
        <f>IF(AND(ITER&gt;0,I69=2),B69,NA())</f>
        <v>0</v>
      </c>
      <c r="Q69" s="14">
        <f>IF(AND(ITER&gt;0,I69=2),C69,NA())</f>
        <v>0</v>
      </c>
      <c r="R69" s="14">
        <f>IF(AND(ITER&gt;0,I69=3),B69,NA())</f>
        <v>0</v>
      </c>
      <c r="S69" s="14">
        <f>IF(AND(ITER&gt;0,I69=3),C69,NA())</f>
        <v>0</v>
      </c>
    </row>
    <row r="70" spans="1:19">
      <c r="A70" s="11" t="s">
        <v>70</v>
      </c>
      <c r="B70" s="11">
        <v>9</v>
      </c>
      <c r="C70" s="12">
        <v>2200</v>
      </c>
      <c r="D70" s="7">
        <f>STANDARDIZE(B70,AVERAGE($B$33:$B$122),_xlfn.STDEV.S($B$33:$B$122))</f>
        <v>0</v>
      </c>
      <c r="E70" s="7">
        <f>STANDARDIZE(C70,AVERAGE($C$33:$C$122),_xlfn.STDEV.S($C$33:$C$122))</f>
        <v>0</v>
      </c>
      <c r="F70" s="7">
        <f>SQRT((D70-$B$19)^2+(E70-$C$19)^2)</f>
        <v>0</v>
      </c>
      <c r="G70" s="7">
        <f>SQRT((D70-$B$20)^2+(E70-$C$20)^2)</f>
        <v>0</v>
      </c>
      <c r="H70" s="7">
        <f>SQRT((D70-$B$21)^2+(E70-$C$21)^2)</f>
        <v>0</v>
      </c>
      <c r="I70" s="13">
        <f>MATCH(MIN(F70:H70),F70:H70,0)</f>
        <v>0</v>
      </c>
      <c r="J70" s="7">
        <f>INDEX(F70:H70,I70)^2</f>
        <v>0</v>
      </c>
      <c r="L70" s="14">
        <f>IF(ITER=0,B70,NA())</f>
        <v>0</v>
      </c>
      <c r="M70" s="14">
        <f>IF(ITER=0,C70,NA())</f>
        <v>0</v>
      </c>
      <c r="N70" s="14">
        <f>IF(AND(ITER&gt;0,I70=1),B70,NA())</f>
        <v>0</v>
      </c>
      <c r="O70" s="14">
        <f>IF(AND(ITER&gt;0,I70=1),C70,NA())</f>
        <v>0</v>
      </c>
      <c r="P70" s="14">
        <f>IF(AND(ITER&gt;0,I70=2),B70,NA())</f>
        <v>0</v>
      </c>
      <c r="Q70" s="14">
        <f>IF(AND(ITER&gt;0,I70=2),C70,NA())</f>
        <v>0</v>
      </c>
      <c r="R70" s="14">
        <f>IF(AND(ITER&gt;0,I70=3),B70,NA())</f>
        <v>0</v>
      </c>
      <c r="S70" s="14">
        <f>IF(AND(ITER&gt;0,I70=3),C70,NA())</f>
        <v>0</v>
      </c>
    </row>
    <row r="71" spans="1:19">
      <c r="A71" s="11" t="s">
        <v>71</v>
      </c>
      <c r="B71" s="11">
        <v>12</v>
      </c>
      <c r="C71" s="12">
        <v>3980</v>
      </c>
      <c r="D71" s="7">
        <f>STANDARDIZE(B71,AVERAGE($B$33:$B$122),_xlfn.STDEV.S($B$33:$B$122))</f>
        <v>0</v>
      </c>
      <c r="E71" s="7">
        <f>STANDARDIZE(C71,AVERAGE($C$33:$C$122),_xlfn.STDEV.S($C$33:$C$122))</f>
        <v>0</v>
      </c>
      <c r="F71" s="7">
        <f>SQRT((D71-$B$19)^2+(E71-$C$19)^2)</f>
        <v>0</v>
      </c>
      <c r="G71" s="7">
        <f>SQRT((D71-$B$20)^2+(E71-$C$20)^2)</f>
        <v>0</v>
      </c>
      <c r="H71" s="7">
        <f>SQRT((D71-$B$21)^2+(E71-$C$21)^2)</f>
        <v>0</v>
      </c>
      <c r="I71" s="13">
        <f>MATCH(MIN(F71:H71),F71:H71,0)</f>
        <v>0</v>
      </c>
      <c r="J71" s="7">
        <f>INDEX(F71:H71,I71)^2</f>
        <v>0</v>
      </c>
      <c r="L71" s="14">
        <f>IF(ITER=0,B71,NA())</f>
        <v>0</v>
      </c>
      <c r="M71" s="14">
        <f>IF(ITER=0,C71,NA())</f>
        <v>0</v>
      </c>
      <c r="N71" s="14">
        <f>IF(AND(ITER&gt;0,I71=1),B71,NA())</f>
        <v>0</v>
      </c>
      <c r="O71" s="14">
        <f>IF(AND(ITER&gt;0,I71=1),C71,NA())</f>
        <v>0</v>
      </c>
      <c r="P71" s="14">
        <f>IF(AND(ITER&gt;0,I71=2),B71,NA())</f>
        <v>0</v>
      </c>
      <c r="Q71" s="14">
        <f>IF(AND(ITER&gt;0,I71=2),C71,NA())</f>
        <v>0</v>
      </c>
      <c r="R71" s="14">
        <f>IF(AND(ITER&gt;0,I71=3),B71,NA())</f>
        <v>0</v>
      </c>
      <c r="S71" s="14">
        <f>IF(AND(ITER&gt;0,I71=3),C71,NA())</f>
        <v>0</v>
      </c>
    </row>
    <row r="72" spans="1:19">
      <c r="A72" s="11" t="s">
        <v>72</v>
      </c>
      <c r="B72" s="11">
        <v>92</v>
      </c>
      <c r="C72" s="12">
        <v>1960</v>
      </c>
      <c r="D72" s="7">
        <f>STANDARDIZE(B72,AVERAGE($B$33:$B$122),_xlfn.STDEV.S($B$33:$B$122))</f>
        <v>0</v>
      </c>
      <c r="E72" s="7">
        <f>STANDARDIZE(C72,AVERAGE($C$33:$C$122),_xlfn.STDEV.S($C$33:$C$122))</f>
        <v>0</v>
      </c>
      <c r="F72" s="7">
        <f>SQRT((D72-$B$19)^2+(E72-$C$19)^2)</f>
        <v>0</v>
      </c>
      <c r="G72" s="7">
        <f>SQRT((D72-$B$20)^2+(E72-$C$20)^2)</f>
        <v>0</v>
      </c>
      <c r="H72" s="7">
        <f>SQRT((D72-$B$21)^2+(E72-$C$21)^2)</f>
        <v>0</v>
      </c>
      <c r="I72" s="13">
        <f>MATCH(MIN(F72:H72),F72:H72,0)</f>
        <v>0</v>
      </c>
      <c r="J72" s="7">
        <f>INDEX(F72:H72,I72)^2</f>
        <v>0</v>
      </c>
      <c r="L72" s="14">
        <f>IF(ITER=0,B72,NA())</f>
        <v>0</v>
      </c>
      <c r="M72" s="14">
        <f>IF(ITER=0,C72,NA())</f>
        <v>0</v>
      </c>
      <c r="N72" s="14">
        <f>IF(AND(ITER&gt;0,I72=1),B72,NA())</f>
        <v>0</v>
      </c>
      <c r="O72" s="14">
        <f>IF(AND(ITER&gt;0,I72=1),C72,NA())</f>
        <v>0</v>
      </c>
      <c r="P72" s="14">
        <f>IF(AND(ITER&gt;0,I72=2),B72,NA())</f>
        <v>0</v>
      </c>
      <c r="Q72" s="14">
        <f>IF(AND(ITER&gt;0,I72=2),C72,NA())</f>
        <v>0</v>
      </c>
      <c r="R72" s="14">
        <f>IF(AND(ITER&gt;0,I72=3),B72,NA())</f>
        <v>0</v>
      </c>
      <c r="S72" s="14">
        <f>IF(AND(ITER&gt;0,I72=3),C72,NA())</f>
        <v>0</v>
      </c>
    </row>
    <row r="73" spans="1:19">
      <c r="A73" s="11" t="s">
        <v>73</v>
      </c>
      <c r="B73" s="11">
        <v>13</v>
      </c>
      <c r="C73" s="12">
        <v>1610</v>
      </c>
      <c r="D73" s="7">
        <f>STANDARDIZE(B73,AVERAGE($B$33:$B$122),_xlfn.STDEV.S($B$33:$B$122))</f>
        <v>0</v>
      </c>
      <c r="E73" s="7">
        <f>STANDARDIZE(C73,AVERAGE($C$33:$C$122),_xlfn.STDEV.S($C$33:$C$122))</f>
        <v>0</v>
      </c>
      <c r="F73" s="7">
        <f>SQRT((D73-$B$19)^2+(E73-$C$19)^2)</f>
        <v>0</v>
      </c>
      <c r="G73" s="7">
        <f>SQRT((D73-$B$20)^2+(E73-$C$20)^2)</f>
        <v>0</v>
      </c>
      <c r="H73" s="7">
        <f>SQRT((D73-$B$21)^2+(E73-$C$21)^2)</f>
        <v>0</v>
      </c>
      <c r="I73" s="13">
        <f>MATCH(MIN(F73:H73),F73:H73,0)</f>
        <v>0</v>
      </c>
      <c r="J73" s="7">
        <f>INDEX(F73:H73,I73)^2</f>
        <v>0</v>
      </c>
      <c r="L73" s="14">
        <f>IF(ITER=0,B73,NA())</f>
        <v>0</v>
      </c>
      <c r="M73" s="14">
        <f>IF(ITER=0,C73,NA())</f>
        <v>0</v>
      </c>
      <c r="N73" s="14">
        <f>IF(AND(ITER&gt;0,I73=1),B73,NA())</f>
        <v>0</v>
      </c>
      <c r="O73" s="14">
        <f>IF(AND(ITER&gt;0,I73=1),C73,NA())</f>
        <v>0</v>
      </c>
      <c r="P73" s="14">
        <f>IF(AND(ITER&gt;0,I73=2),B73,NA())</f>
        <v>0</v>
      </c>
      <c r="Q73" s="14">
        <f>IF(AND(ITER&gt;0,I73=2),C73,NA())</f>
        <v>0</v>
      </c>
      <c r="R73" s="14">
        <f>IF(AND(ITER&gt;0,I73=3),B73,NA())</f>
        <v>0</v>
      </c>
      <c r="S73" s="14">
        <f>IF(AND(ITER&gt;0,I73=3),C73,NA())</f>
        <v>0</v>
      </c>
    </row>
    <row r="74" spans="1:19">
      <c r="A74" s="11" t="s">
        <v>74</v>
      </c>
      <c r="B74" s="11">
        <v>71</v>
      </c>
      <c r="C74" s="12">
        <v>2220</v>
      </c>
      <c r="D74" s="7">
        <f>STANDARDIZE(B74,AVERAGE($B$33:$B$122),_xlfn.STDEV.S($B$33:$B$122))</f>
        <v>0</v>
      </c>
      <c r="E74" s="7">
        <f>STANDARDIZE(C74,AVERAGE($C$33:$C$122),_xlfn.STDEV.S($C$33:$C$122))</f>
        <v>0</v>
      </c>
      <c r="F74" s="7">
        <f>SQRT((D74-$B$19)^2+(E74-$C$19)^2)</f>
        <v>0</v>
      </c>
      <c r="G74" s="7">
        <f>SQRT((D74-$B$20)^2+(E74-$C$20)^2)</f>
        <v>0</v>
      </c>
      <c r="H74" s="7">
        <f>SQRT((D74-$B$21)^2+(E74-$C$21)^2)</f>
        <v>0</v>
      </c>
      <c r="I74" s="13">
        <f>MATCH(MIN(F74:H74),F74:H74,0)</f>
        <v>0</v>
      </c>
      <c r="J74" s="7">
        <f>INDEX(F74:H74,I74)^2</f>
        <v>0</v>
      </c>
      <c r="L74" s="14">
        <f>IF(ITER=0,B74,NA())</f>
        <v>0</v>
      </c>
      <c r="M74" s="14">
        <f>IF(ITER=0,C74,NA())</f>
        <v>0</v>
      </c>
      <c r="N74" s="14">
        <f>IF(AND(ITER&gt;0,I74=1),B74,NA())</f>
        <v>0</v>
      </c>
      <c r="O74" s="14">
        <f>IF(AND(ITER&gt;0,I74=1),C74,NA())</f>
        <v>0</v>
      </c>
      <c r="P74" s="14">
        <f>IF(AND(ITER&gt;0,I74=2),B74,NA())</f>
        <v>0</v>
      </c>
      <c r="Q74" s="14">
        <f>IF(AND(ITER&gt;0,I74=2),C74,NA())</f>
        <v>0</v>
      </c>
      <c r="R74" s="14">
        <f>IF(AND(ITER&gt;0,I74=3),B74,NA())</f>
        <v>0</v>
      </c>
      <c r="S74" s="14">
        <f>IF(AND(ITER&gt;0,I74=3),C74,NA())</f>
        <v>0</v>
      </c>
    </row>
    <row r="75" spans="1:19">
      <c r="A75" s="11" t="s">
        <v>75</v>
      </c>
      <c r="B75" s="11">
        <v>83</v>
      </c>
      <c r="C75" s="12">
        <v>1870</v>
      </c>
      <c r="D75" s="7">
        <f>STANDARDIZE(B75,AVERAGE($B$33:$B$122),_xlfn.STDEV.S($B$33:$B$122))</f>
        <v>0</v>
      </c>
      <c r="E75" s="7">
        <f>STANDARDIZE(C75,AVERAGE($C$33:$C$122),_xlfn.STDEV.S($C$33:$C$122))</f>
        <v>0</v>
      </c>
      <c r="F75" s="7">
        <f>SQRT((D75-$B$19)^2+(E75-$C$19)^2)</f>
        <v>0</v>
      </c>
      <c r="G75" s="7">
        <f>SQRT((D75-$B$20)^2+(E75-$C$20)^2)</f>
        <v>0</v>
      </c>
      <c r="H75" s="7">
        <f>SQRT((D75-$B$21)^2+(E75-$C$21)^2)</f>
        <v>0</v>
      </c>
      <c r="I75" s="13">
        <f>MATCH(MIN(F75:H75),F75:H75,0)</f>
        <v>0</v>
      </c>
      <c r="J75" s="7">
        <f>INDEX(F75:H75,I75)^2</f>
        <v>0</v>
      </c>
      <c r="L75" s="14">
        <f>IF(ITER=0,B75,NA())</f>
        <v>0</v>
      </c>
      <c r="M75" s="14">
        <f>IF(ITER=0,C75,NA())</f>
        <v>0</v>
      </c>
      <c r="N75" s="14">
        <f>IF(AND(ITER&gt;0,I75=1),B75,NA())</f>
        <v>0</v>
      </c>
      <c r="O75" s="14">
        <f>IF(AND(ITER&gt;0,I75=1),C75,NA())</f>
        <v>0</v>
      </c>
      <c r="P75" s="14">
        <f>IF(AND(ITER&gt;0,I75=2),B75,NA())</f>
        <v>0</v>
      </c>
      <c r="Q75" s="14">
        <f>IF(AND(ITER&gt;0,I75=2),C75,NA())</f>
        <v>0</v>
      </c>
      <c r="R75" s="14">
        <f>IF(AND(ITER&gt;0,I75=3),B75,NA())</f>
        <v>0</v>
      </c>
      <c r="S75" s="14">
        <f>IF(AND(ITER&gt;0,I75=3),C75,NA())</f>
        <v>0</v>
      </c>
    </row>
    <row r="76" spans="1:19">
      <c r="A76" s="11" t="s">
        <v>76</v>
      </c>
      <c r="B76" s="11">
        <v>16</v>
      </c>
      <c r="C76" s="12">
        <v>2850</v>
      </c>
      <c r="D76" s="7">
        <f>STANDARDIZE(B76,AVERAGE($B$33:$B$122),_xlfn.STDEV.S($B$33:$B$122))</f>
        <v>0</v>
      </c>
      <c r="E76" s="7">
        <f>STANDARDIZE(C76,AVERAGE($C$33:$C$122),_xlfn.STDEV.S($C$33:$C$122))</f>
        <v>0</v>
      </c>
      <c r="F76" s="7">
        <f>SQRT((D76-$B$19)^2+(E76-$C$19)^2)</f>
        <v>0</v>
      </c>
      <c r="G76" s="7">
        <f>SQRT((D76-$B$20)^2+(E76-$C$20)^2)</f>
        <v>0</v>
      </c>
      <c r="H76" s="7">
        <f>SQRT((D76-$B$21)^2+(E76-$C$21)^2)</f>
        <v>0</v>
      </c>
      <c r="I76" s="13">
        <f>MATCH(MIN(F76:H76),F76:H76,0)</f>
        <v>0</v>
      </c>
      <c r="J76" s="7">
        <f>INDEX(F76:H76,I76)^2</f>
        <v>0</v>
      </c>
      <c r="L76" s="14">
        <f>IF(ITER=0,B76,NA())</f>
        <v>0</v>
      </c>
      <c r="M76" s="14">
        <f>IF(ITER=0,C76,NA())</f>
        <v>0</v>
      </c>
      <c r="N76" s="14">
        <f>IF(AND(ITER&gt;0,I76=1),B76,NA())</f>
        <v>0</v>
      </c>
      <c r="O76" s="14">
        <f>IF(AND(ITER&gt;0,I76=1),C76,NA())</f>
        <v>0</v>
      </c>
      <c r="P76" s="14">
        <f>IF(AND(ITER&gt;0,I76=2),B76,NA())</f>
        <v>0</v>
      </c>
      <c r="Q76" s="14">
        <f>IF(AND(ITER&gt;0,I76=2),C76,NA())</f>
        <v>0</v>
      </c>
      <c r="R76" s="14">
        <f>IF(AND(ITER&gt;0,I76=3),B76,NA())</f>
        <v>0</v>
      </c>
      <c r="S76" s="14">
        <f>IF(AND(ITER&gt;0,I76=3),C76,NA())</f>
        <v>0</v>
      </c>
    </row>
    <row r="77" spans="1:19">
      <c r="A77" s="11" t="s">
        <v>77</v>
      </c>
      <c r="B77" s="11">
        <v>27</v>
      </c>
      <c r="C77" s="12">
        <v>2940</v>
      </c>
      <c r="D77" s="7">
        <f>STANDARDIZE(B77,AVERAGE($B$33:$B$122),_xlfn.STDEV.S($B$33:$B$122))</f>
        <v>0</v>
      </c>
      <c r="E77" s="7">
        <f>STANDARDIZE(C77,AVERAGE($C$33:$C$122),_xlfn.STDEV.S($C$33:$C$122))</f>
        <v>0</v>
      </c>
      <c r="F77" s="7">
        <f>SQRT((D77-$B$19)^2+(E77-$C$19)^2)</f>
        <v>0</v>
      </c>
      <c r="G77" s="7">
        <f>SQRT((D77-$B$20)^2+(E77-$C$20)^2)</f>
        <v>0</v>
      </c>
      <c r="H77" s="7">
        <f>SQRT((D77-$B$21)^2+(E77-$C$21)^2)</f>
        <v>0</v>
      </c>
      <c r="I77" s="13">
        <f>MATCH(MIN(F77:H77),F77:H77,0)</f>
        <v>0</v>
      </c>
      <c r="J77" s="7">
        <f>INDEX(F77:H77,I77)^2</f>
        <v>0</v>
      </c>
      <c r="L77" s="14">
        <f>IF(ITER=0,B77,NA())</f>
        <v>0</v>
      </c>
      <c r="M77" s="14">
        <f>IF(ITER=0,C77,NA())</f>
        <v>0</v>
      </c>
      <c r="N77" s="14">
        <f>IF(AND(ITER&gt;0,I77=1),B77,NA())</f>
        <v>0</v>
      </c>
      <c r="O77" s="14">
        <f>IF(AND(ITER&gt;0,I77=1),C77,NA())</f>
        <v>0</v>
      </c>
      <c r="P77" s="14">
        <f>IF(AND(ITER&gt;0,I77=2),B77,NA())</f>
        <v>0</v>
      </c>
      <c r="Q77" s="14">
        <f>IF(AND(ITER&gt;0,I77=2),C77,NA())</f>
        <v>0</v>
      </c>
      <c r="R77" s="14">
        <f>IF(AND(ITER&gt;0,I77=3),B77,NA())</f>
        <v>0</v>
      </c>
      <c r="S77" s="14">
        <f>IF(AND(ITER&gt;0,I77=3),C77,NA())</f>
        <v>0</v>
      </c>
    </row>
    <row r="78" spans="1:19">
      <c r="A78" s="11" t="s">
        <v>78</v>
      </c>
      <c r="B78" s="11">
        <v>5</v>
      </c>
      <c r="C78" s="12">
        <v>2150</v>
      </c>
      <c r="D78" s="7">
        <f>STANDARDIZE(B78,AVERAGE($B$33:$B$122),_xlfn.STDEV.S($B$33:$B$122))</f>
        <v>0</v>
      </c>
      <c r="E78" s="7">
        <f>STANDARDIZE(C78,AVERAGE($C$33:$C$122),_xlfn.STDEV.S($C$33:$C$122))</f>
        <v>0</v>
      </c>
      <c r="F78" s="7">
        <f>SQRT((D78-$B$19)^2+(E78-$C$19)^2)</f>
        <v>0</v>
      </c>
      <c r="G78" s="7">
        <f>SQRT((D78-$B$20)^2+(E78-$C$20)^2)</f>
        <v>0</v>
      </c>
      <c r="H78" s="7">
        <f>SQRT((D78-$B$21)^2+(E78-$C$21)^2)</f>
        <v>0</v>
      </c>
      <c r="I78" s="13">
        <f>MATCH(MIN(F78:H78),F78:H78,0)</f>
        <v>0</v>
      </c>
      <c r="J78" s="7">
        <f>INDEX(F78:H78,I78)^2</f>
        <v>0</v>
      </c>
      <c r="L78" s="14">
        <f>IF(ITER=0,B78,NA())</f>
        <v>0</v>
      </c>
      <c r="M78" s="14">
        <f>IF(ITER=0,C78,NA())</f>
        <v>0</v>
      </c>
      <c r="N78" s="14">
        <f>IF(AND(ITER&gt;0,I78=1),B78,NA())</f>
        <v>0</v>
      </c>
      <c r="O78" s="14">
        <f>IF(AND(ITER&gt;0,I78=1),C78,NA())</f>
        <v>0</v>
      </c>
      <c r="P78" s="14">
        <f>IF(AND(ITER&gt;0,I78=2),B78,NA())</f>
        <v>0</v>
      </c>
      <c r="Q78" s="14">
        <f>IF(AND(ITER&gt;0,I78=2),C78,NA())</f>
        <v>0</v>
      </c>
      <c r="R78" s="14">
        <f>IF(AND(ITER&gt;0,I78=3),B78,NA())</f>
        <v>0</v>
      </c>
      <c r="S78" s="14">
        <f>IF(AND(ITER&gt;0,I78=3),C78,NA())</f>
        <v>0</v>
      </c>
    </row>
    <row r="79" spans="1:19">
      <c r="A79" s="11" t="s">
        <v>79</v>
      </c>
      <c r="B79" s="11">
        <v>24</v>
      </c>
      <c r="C79" s="12">
        <v>1230</v>
      </c>
      <c r="D79" s="7">
        <f>STANDARDIZE(B79,AVERAGE($B$33:$B$122),_xlfn.STDEV.S($B$33:$B$122))</f>
        <v>0</v>
      </c>
      <c r="E79" s="7">
        <f>STANDARDIZE(C79,AVERAGE($C$33:$C$122),_xlfn.STDEV.S($C$33:$C$122))</f>
        <v>0</v>
      </c>
      <c r="F79" s="7">
        <f>SQRT((D79-$B$19)^2+(E79-$C$19)^2)</f>
        <v>0</v>
      </c>
      <c r="G79" s="7">
        <f>SQRT((D79-$B$20)^2+(E79-$C$20)^2)</f>
        <v>0</v>
      </c>
      <c r="H79" s="7">
        <f>SQRT((D79-$B$21)^2+(E79-$C$21)^2)</f>
        <v>0</v>
      </c>
      <c r="I79" s="13">
        <f>MATCH(MIN(F79:H79),F79:H79,0)</f>
        <v>0</v>
      </c>
      <c r="J79" s="7">
        <f>INDEX(F79:H79,I79)^2</f>
        <v>0</v>
      </c>
      <c r="L79" s="14">
        <f>IF(ITER=0,B79,NA())</f>
        <v>0</v>
      </c>
      <c r="M79" s="14">
        <f>IF(ITER=0,C79,NA())</f>
        <v>0</v>
      </c>
      <c r="N79" s="14">
        <f>IF(AND(ITER&gt;0,I79=1),B79,NA())</f>
        <v>0</v>
      </c>
      <c r="O79" s="14">
        <f>IF(AND(ITER&gt;0,I79=1),C79,NA())</f>
        <v>0</v>
      </c>
      <c r="P79" s="14">
        <f>IF(AND(ITER&gt;0,I79=2),B79,NA())</f>
        <v>0</v>
      </c>
      <c r="Q79" s="14">
        <f>IF(AND(ITER&gt;0,I79=2),C79,NA())</f>
        <v>0</v>
      </c>
      <c r="R79" s="14">
        <f>IF(AND(ITER&gt;0,I79=3),B79,NA())</f>
        <v>0</v>
      </c>
      <c r="S79" s="14">
        <f>IF(AND(ITER&gt;0,I79=3),C79,NA())</f>
        <v>0</v>
      </c>
    </row>
    <row r="80" spans="1:19">
      <c r="A80" s="11" t="s">
        <v>80</v>
      </c>
      <c r="B80" s="11">
        <v>24</v>
      </c>
      <c r="C80" s="12">
        <v>1660</v>
      </c>
      <c r="D80" s="7">
        <f>STANDARDIZE(B80,AVERAGE($B$33:$B$122),_xlfn.STDEV.S($B$33:$B$122))</f>
        <v>0</v>
      </c>
      <c r="E80" s="7">
        <f>STANDARDIZE(C80,AVERAGE($C$33:$C$122),_xlfn.STDEV.S($C$33:$C$122))</f>
        <v>0</v>
      </c>
      <c r="F80" s="7">
        <f>SQRT((D80-$B$19)^2+(E80-$C$19)^2)</f>
        <v>0</v>
      </c>
      <c r="G80" s="7">
        <f>SQRT((D80-$B$20)^2+(E80-$C$20)^2)</f>
        <v>0</v>
      </c>
      <c r="H80" s="7">
        <f>SQRT((D80-$B$21)^2+(E80-$C$21)^2)</f>
        <v>0</v>
      </c>
      <c r="I80" s="13">
        <f>MATCH(MIN(F80:H80),F80:H80,0)</f>
        <v>0</v>
      </c>
      <c r="J80" s="7">
        <f>INDEX(F80:H80,I80)^2</f>
        <v>0</v>
      </c>
      <c r="L80" s="14">
        <f>IF(ITER=0,B80,NA())</f>
        <v>0</v>
      </c>
      <c r="M80" s="14">
        <f>IF(ITER=0,C80,NA())</f>
        <v>0</v>
      </c>
      <c r="N80" s="14">
        <f>IF(AND(ITER&gt;0,I80=1),B80,NA())</f>
        <v>0</v>
      </c>
      <c r="O80" s="14">
        <f>IF(AND(ITER&gt;0,I80=1),C80,NA())</f>
        <v>0</v>
      </c>
      <c r="P80" s="14">
        <f>IF(AND(ITER&gt;0,I80=2),B80,NA())</f>
        <v>0</v>
      </c>
      <c r="Q80" s="14">
        <f>IF(AND(ITER&gt;0,I80=2),C80,NA())</f>
        <v>0</v>
      </c>
      <c r="R80" s="14">
        <f>IF(AND(ITER&gt;0,I80=3),B80,NA())</f>
        <v>0</v>
      </c>
      <c r="S80" s="14">
        <f>IF(AND(ITER&gt;0,I80=3),C80,NA())</f>
        <v>0</v>
      </c>
    </row>
    <row r="81" spans="1:19">
      <c r="A81" s="11" t="s">
        <v>81</v>
      </c>
      <c r="B81" s="11">
        <v>55</v>
      </c>
      <c r="C81" s="12">
        <v>1640</v>
      </c>
      <c r="D81" s="7">
        <f>STANDARDIZE(B81,AVERAGE($B$33:$B$122),_xlfn.STDEV.S($B$33:$B$122))</f>
        <v>0</v>
      </c>
      <c r="E81" s="7">
        <f>STANDARDIZE(C81,AVERAGE($C$33:$C$122),_xlfn.STDEV.S($C$33:$C$122))</f>
        <v>0</v>
      </c>
      <c r="F81" s="7">
        <f>SQRT((D81-$B$19)^2+(E81-$C$19)^2)</f>
        <v>0</v>
      </c>
      <c r="G81" s="7">
        <f>SQRT((D81-$B$20)^2+(E81-$C$20)^2)</f>
        <v>0</v>
      </c>
      <c r="H81" s="7">
        <f>SQRT((D81-$B$21)^2+(E81-$C$21)^2)</f>
        <v>0</v>
      </c>
      <c r="I81" s="13">
        <f>MATCH(MIN(F81:H81),F81:H81,0)</f>
        <v>0</v>
      </c>
      <c r="J81" s="7">
        <f>INDEX(F81:H81,I81)^2</f>
        <v>0</v>
      </c>
      <c r="L81" s="14">
        <f>IF(ITER=0,B81,NA())</f>
        <v>0</v>
      </c>
      <c r="M81" s="14">
        <f>IF(ITER=0,C81,NA())</f>
        <v>0</v>
      </c>
      <c r="N81" s="14">
        <f>IF(AND(ITER&gt;0,I81=1),B81,NA())</f>
        <v>0</v>
      </c>
      <c r="O81" s="14">
        <f>IF(AND(ITER&gt;0,I81=1),C81,NA())</f>
        <v>0</v>
      </c>
      <c r="P81" s="14">
        <f>IF(AND(ITER&gt;0,I81=2),B81,NA())</f>
        <v>0</v>
      </c>
      <c r="Q81" s="14">
        <f>IF(AND(ITER&gt;0,I81=2),C81,NA())</f>
        <v>0</v>
      </c>
      <c r="R81" s="14">
        <f>IF(AND(ITER&gt;0,I81=3),B81,NA())</f>
        <v>0</v>
      </c>
      <c r="S81" s="14">
        <f>IF(AND(ITER&gt;0,I81=3),C81,NA())</f>
        <v>0</v>
      </c>
    </row>
    <row r="82" spans="1:19">
      <c r="A82" s="11" t="s">
        <v>82</v>
      </c>
      <c r="B82" s="11">
        <v>55</v>
      </c>
      <c r="C82" s="12">
        <v>1830</v>
      </c>
      <c r="D82" s="7">
        <f>STANDARDIZE(B82,AVERAGE($B$33:$B$122),_xlfn.STDEV.S($B$33:$B$122))</f>
        <v>0</v>
      </c>
      <c r="E82" s="7">
        <f>STANDARDIZE(C82,AVERAGE($C$33:$C$122),_xlfn.STDEV.S($C$33:$C$122))</f>
        <v>0</v>
      </c>
      <c r="F82" s="7">
        <f>SQRT((D82-$B$19)^2+(E82-$C$19)^2)</f>
        <v>0</v>
      </c>
      <c r="G82" s="7">
        <f>SQRT((D82-$B$20)^2+(E82-$C$20)^2)</f>
        <v>0</v>
      </c>
      <c r="H82" s="7">
        <f>SQRT((D82-$B$21)^2+(E82-$C$21)^2)</f>
        <v>0</v>
      </c>
      <c r="I82" s="13">
        <f>MATCH(MIN(F82:H82),F82:H82,0)</f>
        <v>0</v>
      </c>
      <c r="J82" s="7">
        <f>INDEX(F82:H82,I82)^2</f>
        <v>0</v>
      </c>
      <c r="L82" s="14">
        <f>IF(ITER=0,B82,NA())</f>
        <v>0</v>
      </c>
      <c r="M82" s="14">
        <f>IF(ITER=0,C82,NA())</f>
        <v>0</v>
      </c>
      <c r="N82" s="14">
        <f>IF(AND(ITER&gt;0,I82=1),B82,NA())</f>
        <v>0</v>
      </c>
      <c r="O82" s="14">
        <f>IF(AND(ITER&gt;0,I82=1),C82,NA())</f>
        <v>0</v>
      </c>
      <c r="P82" s="14">
        <f>IF(AND(ITER&gt;0,I82=2),B82,NA())</f>
        <v>0</v>
      </c>
      <c r="Q82" s="14">
        <f>IF(AND(ITER&gt;0,I82=2),C82,NA())</f>
        <v>0</v>
      </c>
      <c r="R82" s="14">
        <f>IF(AND(ITER&gt;0,I82=3),B82,NA())</f>
        <v>0</v>
      </c>
      <c r="S82" s="14">
        <f>IF(AND(ITER&gt;0,I82=3),C82,NA())</f>
        <v>0</v>
      </c>
    </row>
    <row r="83" spans="1:19">
      <c r="A83" s="11" t="s">
        <v>83</v>
      </c>
      <c r="B83" s="11">
        <v>40</v>
      </c>
      <c r="C83" s="12">
        <v>5170</v>
      </c>
      <c r="D83" s="7">
        <f>STANDARDIZE(B83,AVERAGE($B$33:$B$122),_xlfn.STDEV.S($B$33:$B$122))</f>
        <v>0</v>
      </c>
      <c r="E83" s="7">
        <f>STANDARDIZE(C83,AVERAGE($C$33:$C$122),_xlfn.STDEV.S($C$33:$C$122))</f>
        <v>0</v>
      </c>
      <c r="F83" s="7">
        <f>SQRT((D83-$B$19)^2+(E83-$C$19)^2)</f>
        <v>0</v>
      </c>
      <c r="G83" s="7">
        <f>SQRT((D83-$B$20)^2+(E83-$C$20)^2)</f>
        <v>0</v>
      </c>
      <c r="H83" s="7">
        <f>SQRT((D83-$B$21)^2+(E83-$C$21)^2)</f>
        <v>0</v>
      </c>
      <c r="I83" s="13">
        <f>MATCH(MIN(F83:H83),F83:H83,0)</f>
        <v>0</v>
      </c>
      <c r="J83" s="7">
        <f>INDEX(F83:H83,I83)^2</f>
        <v>0</v>
      </c>
      <c r="L83" s="14">
        <f>IF(ITER=0,B83,NA())</f>
        <v>0</v>
      </c>
      <c r="M83" s="14">
        <f>IF(ITER=0,C83,NA())</f>
        <v>0</v>
      </c>
      <c r="N83" s="14">
        <f>IF(AND(ITER&gt;0,I83=1),B83,NA())</f>
        <v>0</v>
      </c>
      <c r="O83" s="14">
        <f>IF(AND(ITER&gt;0,I83=1),C83,NA())</f>
        <v>0</v>
      </c>
      <c r="P83" s="14">
        <f>IF(AND(ITER&gt;0,I83=2),B83,NA())</f>
        <v>0</v>
      </c>
      <c r="Q83" s="14">
        <f>IF(AND(ITER&gt;0,I83=2),C83,NA())</f>
        <v>0</v>
      </c>
      <c r="R83" s="14">
        <f>IF(AND(ITER&gt;0,I83=3),B83,NA())</f>
        <v>0</v>
      </c>
      <c r="S83" s="14">
        <f>IF(AND(ITER&gt;0,I83=3),C83,NA())</f>
        <v>0</v>
      </c>
    </row>
    <row r="84" spans="1:19">
      <c r="A84" s="11" t="s">
        <v>84</v>
      </c>
      <c r="B84" s="11">
        <v>39</v>
      </c>
      <c r="C84" s="12">
        <v>2220</v>
      </c>
      <c r="D84" s="7">
        <f>STANDARDIZE(B84,AVERAGE($B$33:$B$122),_xlfn.STDEV.S($B$33:$B$122))</f>
        <v>0</v>
      </c>
      <c r="E84" s="7">
        <f>STANDARDIZE(C84,AVERAGE($C$33:$C$122),_xlfn.STDEV.S($C$33:$C$122))</f>
        <v>0</v>
      </c>
      <c r="F84" s="7">
        <f>SQRT((D84-$B$19)^2+(E84-$C$19)^2)</f>
        <v>0</v>
      </c>
      <c r="G84" s="7">
        <f>SQRT((D84-$B$20)^2+(E84-$C$20)^2)</f>
        <v>0</v>
      </c>
      <c r="H84" s="7">
        <f>SQRT((D84-$B$21)^2+(E84-$C$21)^2)</f>
        <v>0</v>
      </c>
      <c r="I84" s="13">
        <f>MATCH(MIN(F84:H84),F84:H84,0)</f>
        <v>0</v>
      </c>
      <c r="J84" s="7">
        <f>INDEX(F84:H84,I84)^2</f>
        <v>0</v>
      </c>
      <c r="L84" s="14">
        <f>IF(ITER=0,B84,NA())</f>
        <v>0</v>
      </c>
      <c r="M84" s="14">
        <f>IF(ITER=0,C84,NA())</f>
        <v>0</v>
      </c>
      <c r="N84" s="14">
        <f>IF(AND(ITER&gt;0,I84=1),B84,NA())</f>
        <v>0</v>
      </c>
      <c r="O84" s="14">
        <f>IF(AND(ITER&gt;0,I84=1),C84,NA())</f>
        <v>0</v>
      </c>
      <c r="P84" s="14">
        <f>IF(AND(ITER&gt;0,I84=2),B84,NA())</f>
        <v>0</v>
      </c>
      <c r="Q84" s="14">
        <f>IF(AND(ITER&gt;0,I84=2),C84,NA())</f>
        <v>0</v>
      </c>
      <c r="R84" s="14">
        <f>IF(AND(ITER&gt;0,I84=3),B84,NA())</f>
        <v>0</v>
      </c>
      <c r="S84" s="14">
        <f>IF(AND(ITER&gt;0,I84=3),C84,NA())</f>
        <v>0</v>
      </c>
    </row>
    <row r="85" spans="1:19">
      <c r="A85" s="11" t="s">
        <v>85</v>
      </c>
      <c r="B85" s="11">
        <v>47</v>
      </c>
      <c r="C85" s="12">
        <v>1840</v>
      </c>
      <c r="D85" s="7">
        <f>STANDARDIZE(B85,AVERAGE($B$33:$B$122),_xlfn.STDEV.S($B$33:$B$122))</f>
        <v>0</v>
      </c>
      <c r="E85" s="7">
        <f>STANDARDIZE(C85,AVERAGE($C$33:$C$122),_xlfn.STDEV.S($C$33:$C$122))</f>
        <v>0</v>
      </c>
      <c r="F85" s="7">
        <f>SQRT((D85-$B$19)^2+(E85-$C$19)^2)</f>
        <v>0</v>
      </c>
      <c r="G85" s="7">
        <f>SQRT((D85-$B$20)^2+(E85-$C$20)^2)</f>
        <v>0</v>
      </c>
      <c r="H85" s="7">
        <f>SQRT((D85-$B$21)^2+(E85-$C$21)^2)</f>
        <v>0</v>
      </c>
      <c r="I85" s="13">
        <f>MATCH(MIN(F85:H85),F85:H85,0)</f>
        <v>0</v>
      </c>
      <c r="J85" s="7">
        <f>INDEX(F85:H85,I85)^2</f>
        <v>0</v>
      </c>
      <c r="L85" s="14">
        <f>IF(ITER=0,B85,NA())</f>
        <v>0</v>
      </c>
      <c r="M85" s="14">
        <f>IF(ITER=0,C85,NA())</f>
        <v>0</v>
      </c>
      <c r="N85" s="14">
        <f>IF(AND(ITER&gt;0,I85=1),B85,NA())</f>
        <v>0</v>
      </c>
      <c r="O85" s="14">
        <f>IF(AND(ITER&gt;0,I85=1),C85,NA())</f>
        <v>0</v>
      </c>
      <c r="P85" s="14">
        <f>IF(AND(ITER&gt;0,I85=2),B85,NA())</f>
        <v>0</v>
      </c>
      <c r="Q85" s="14">
        <f>IF(AND(ITER&gt;0,I85=2),C85,NA())</f>
        <v>0</v>
      </c>
      <c r="R85" s="14">
        <f>IF(AND(ITER&gt;0,I85=3),B85,NA())</f>
        <v>0</v>
      </c>
      <c r="S85" s="14">
        <f>IF(AND(ITER&gt;0,I85=3),C85,NA())</f>
        <v>0</v>
      </c>
    </row>
    <row r="86" spans="1:19">
      <c r="A86" s="11" t="s">
        <v>86</v>
      </c>
      <c r="B86" s="11">
        <v>70</v>
      </c>
      <c r="C86" s="12">
        <v>1720</v>
      </c>
      <c r="D86" s="7">
        <f>STANDARDIZE(B86,AVERAGE($B$33:$B$122),_xlfn.STDEV.S($B$33:$B$122))</f>
        <v>0</v>
      </c>
      <c r="E86" s="7">
        <f>STANDARDIZE(C86,AVERAGE($C$33:$C$122),_xlfn.STDEV.S($C$33:$C$122))</f>
        <v>0</v>
      </c>
      <c r="F86" s="7">
        <f>SQRT((D86-$B$19)^2+(E86-$C$19)^2)</f>
        <v>0</v>
      </c>
      <c r="G86" s="7">
        <f>SQRT((D86-$B$20)^2+(E86-$C$20)^2)</f>
        <v>0</v>
      </c>
      <c r="H86" s="7">
        <f>SQRT((D86-$B$21)^2+(E86-$C$21)^2)</f>
        <v>0</v>
      </c>
      <c r="I86" s="13">
        <f>MATCH(MIN(F86:H86),F86:H86,0)</f>
        <v>0</v>
      </c>
      <c r="J86" s="7">
        <f>INDEX(F86:H86,I86)^2</f>
        <v>0</v>
      </c>
      <c r="L86" s="14">
        <f>IF(ITER=0,B86,NA())</f>
        <v>0</v>
      </c>
      <c r="M86" s="14">
        <f>IF(ITER=0,C86,NA())</f>
        <v>0</v>
      </c>
      <c r="N86" s="14">
        <f>IF(AND(ITER&gt;0,I86=1),B86,NA())</f>
        <v>0</v>
      </c>
      <c r="O86" s="14">
        <f>IF(AND(ITER&gt;0,I86=1),C86,NA())</f>
        <v>0</v>
      </c>
      <c r="P86" s="14">
        <f>IF(AND(ITER&gt;0,I86=2),B86,NA())</f>
        <v>0</v>
      </c>
      <c r="Q86" s="14">
        <f>IF(AND(ITER&gt;0,I86=2),C86,NA())</f>
        <v>0</v>
      </c>
      <c r="R86" s="14">
        <f>IF(AND(ITER&gt;0,I86=3),B86,NA())</f>
        <v>0</v>
      </c>
      <c r="S86" s="14">
        <f>IF(AND(ITER&gt;0,I86=3),C86,NA())</f>
        <v>0</v>
      </c>
    </row>
    <row r="87" spans="1:19">
      <c r="A87" s="11" t="s">
        <v>87</v>
      </c>
      <c r="B87" s="11">
        <v>36</v>
      </c>
      <c r="C87" s="12">
        <v>1940</v>
      </c>
      <c r="D87" s="7">
        <f>STANDARDIZE(B87,AVERAGE($B$33:$B$122),_xlfn.STDEV.S($B$33:$B$122))</f>
        <v>0</v>
      </c>
      <c r="E87" s="7">
        <f>STANDARDIZE(C87,AVERAGE($C$33:$C$122),_xlfn.STDEV.S($C$33:$C$122))</f>
        <v>0</v>
      </c>
      <c r="F87" s="7">
        <f>SQRT((D87-$B$19)^2+(E87-$C$19)^2)</f>
        <v>0</v>
      </c>
      <c r="G87" s="7">
        <f>SQRT((D87-$B$20)^2+(E87-$C$20)^2)</f>
        <v>0</v>
      </c>
      <c r="H87" s="7">
        <f>SQRT((D87-$B$21)^2+(E87-$C$21)^2)</f>
        <v>0</v>
      </c>
      <c r="I87" s="13">
        <f>MATCH(MIN(F87:H87),F87:H87,0)</f>
        <v>0</v>
      </c>
      <c r="J87" s="7">
        <f>INDEX(F87:H87,I87)^2</f>
        <v>0</v>
      </c>
      <c r="L87" s="14">
        <f>IF(ITER=0,B87,NA())</f>
        <v>0</v>
      </c>
      <c r="M87" s="14">
        <f>IF(ITER=0,C87,NA())</f>
        <v>0</v>
      </c>
      <c r="N87" s="14">
        <f>IF(AND(ITER&gt;0,I87=1),B87,NA())</f>
        <v>0</v>
      </c>
      <c r="O87" s="14">
        <f>IF(AND(ITER&gt;0,I87=1),C87,NA())</f>
        <v>0</v>
      </c>
      <c r="P87" s="14">
        <f>IF(AND(ITER&gt;0,I87=2),B87,NA())</f>
        <v>0</v>
      </c>
      <c r="Q87" s="14">
        <f>IF(AND(ITER&gt;0,I87=2),C87,NA())</f>
        <v>0</v>
      </c>
      <c r="R87" s="14">
        <f>IF(AND(ITER&gt;0,I87=3),B87,NA())</f>
        <v>0</v>
      </c>
      <c r="S87" s="14">
        <f>IF(AND(ITER&gt;0,I87=3),C87,NA())</f>
        <v>0</v>
      </c>
    </row>
    <row r="88" spans="1:19">
      <c r="A88" s="11" t="s">
        <v>88</v>
      </c>
      <c r="B88" s="11">
        <v>109</v>
      </c>
      <c r="C88" s="12">
        <v>2740</v>
      </c>
      <c r="D88" s="7">
        <f>STANDARDIZE(B88,AVERAGE($B$33:$B$122),_xlfn.STDEV.S($B$33:$B$122))</f>
        <v>0</v>
      </c>
      <c r="E88" s="7">
        <f>STANDARDIZE(C88,AVERAGE($C$33:$C$122),_xlfn.STDEV.S($C$33:$C$122))</f>
        <v>0</v>
      </c>
      <c r="F88" s="7">
        <f>SQRT((D88-$B$19)^2+(E88-$C$19)^2)</f>
        <v>0</v>
      </c>
      <c r="G88" s="7">
        <f>SQRT((D88-$B$20)^2+(E88-$C$20)^2)</f>
        <v>0</v>
      </c>
      <c r="H88" s="7">
        <f>SQRT((D88-$B$21)^2+(E88-$C$21)^2)</f>
        <v>0</v>
      </c>
      <c r="I88" s="13">
        <f>MATCH(MIN(F88:H88),F88:H88,0)</f>
        <v>0</v>
      </c>
      <c r="J88" s="7">
        <f>INDEX(F88:H88,I88)^2</f>
        <v>0</v>
      </c>
      <c r="L88" s="14">
        <f>IF(ITER=0,B88,NA())</f>
        <v>0</v>
      </c>
      <c r="M88" s="14">
        <f>IF(ITER=0,C88,NA())</f>
        <v>0</v>
      </c>
      <c r="N88" s="14">
        <f>IF(AND(ITER&gt;0,I88=1),B88,NA())</f>
        <v>0</v>
      </c>
      <c r="O88" s="14">
        <f>IF(AND(ITER&gt;0,I88=1),C88,NA())</f>
        <v>0</v>
      </c>
      <c r="P88" s="14">
        <f>IF(AND(ITER&gt;0,I88=2),B88,NA())</f>
        <v>0</v>
      </c>
      <c r="Q88" s="14">
        <f>IF(AND(ITER&gt;0,I88=2),C88,NA())</f>
        <v>0</v>
      </c>
      <c r="R88" s="14">
        <f>IF(AND(ITER&gt;0,I88=3),B88,NA())</f>
        <v>0</v>
      </c>
      <c r="S88" s="14">
        <f>IF(AND(ITER&gt;0,I88=3),C88,NA())</f>
        <v>0</v>
      </c>
    </row>
    <row r="89" spans="1:19">
      <c r="A89" s="11" t="s">
        <v>89</v>
      </c>
      <c r="B89" s="11">
        <v>30</v>
      </c>
      <c r="C89" s="12">
        <v>2320</v>
      </c>
      <c r="D89" s="7">
        <f>STANDARDIZE(B89,AVERAGE($B$33:$B$122),_xlfn.STDEV.S($B$33:$B$122))</f>
        <v>0</v>
      </c>
      <c r="E89" s="7">
        <f>STANDARDIZE(C89,AVERAGE($C$33:$C$122),_xlfn.STDEV.S($C$33:$C$122))</f>
        <v>0</v>
      </c>
      <c r="F89" s="7">
        <f>SQRT((D89-$B$19)^2+(E89-$C$19)^2)</f>
        <v>0</v>
      </c>
      <c r="G89" s="7">
        <f>SQRT((D89-$B$20)^2+(E89-$C$20)^2)</f>
        <v>0</v>
      </c>
      <c r="H89" s="7">
        <f>SQRT((D89-$B$21)^2+(E89-$C$21)^2)</f>
        <v>0</v>
      </c>
      <c r="I89" s="13">
        <f>MATCH(MIN(F89:H89),F89:H89,0)</f>
        <v>0</v>
      </c>
      <c r="J89" s="7">
        <f>INDEX(F89:H89,I89)^2</f>
        <v>0</v>
      </c>
      <c r="L89" s="14">
        <f>IF(ITER=0,B89,NA())</f>
        <v>0</v>
      </c>
      <c r="M89" s="14">
        <f>IF(ITER=0,C89,NA())</f>
        <v>0</v>
      </c>
      <c r="N89" s="14">
        <f>IF(AND(ITER&gt;0,I89=1),B89,NA())</f>
        <v>0</v>
      </c>
      <c r="O89" s="14">
        <f>IF(AND(ITER&gt;0,I89=1),C89,NA())</f>
        <v>0</v>
      </c>
      <c r="P89" s="14">
        <f>IF(AND(ITER&gt;0,I89=2),B89,NA())</f>
        <v>0</v>
      </c>
      <c r="Q89" s="14">
        <f>IF(AND(ITER&gt;0,I89=2),C89,NA())</f>
        <v>0</v>
      </c>
      <c r="R89" s="14">
        <f>IF(AND(ITER&gt;0,I89=3),B89,NA())</f>
        <v>0</v>
      </c>
      <c r="S89" s="14">
        <f>IF(AND(ITER&gt;0,I89=3),C89,NA())</f>
        <v>0</v>
      </c>
    </row>
    <row r="90" spans="1:19">
      <c r="A90" s="11" t="s">
        <v>90</v>
      </c>
      <c r="B90" s="11">
        <v>50</v>
      </c>
      <c r="C90" s="12">
        <v>4010</v>
      </c>
      <c r="D90" s="7">
        <f>STANDARDIZE(B90,AVERAGE($B$33:$B$122),_xlfn.STDEV.S($B$33:$B$122))</f>
        <v>0</v>
      </c>
      <c r="E90" s="7">
        <f>STANDARDIZE(C90,AVERAGE($C$33:$C$122),_xlfn.STDEV.S($C$33:$C$122))</f>
        <v>0</v>
      </c>
      <c r="F90" s="7">
        <f>SQRT((D90-$B$19)^2+(E90-$C$19)^2)</f>
        <v>0</v>
      </c>
      <c r="G90" s="7">
        <f>SQRT((D90-$B$20)^2+(E90-$C$20)^2)</f>
        <v>0</v>
      </c>
      <c r="H90" s="7">
        <f>SQRT((D90-$B$21)^2+(E90-$C$21)^2)</f>
        <v>0</v>
      </c>
      <c r="I90" s="13">
        <f>MATCH(MIN(F90:H90),F90:H90,0)</f>
        <v>0</v>
      </c>
      <c r="J90" s="7">
        <f>INDEX(F90:H90,I90)^2</f>
        <v>0</v>
      </c>
      <c r="L90" s="14">
        <f>IF(ITER=0,B90,NA())</f>
        <v>0</v>
      </c>
      <c r="M90" s="14">
        <f>IF(ITER=0,C90,NA())</f>
        <v>0</v>
      </c>
      <c r="N90" s="14">
        <f>IF(AND(ITER&gt;0,I90=1),B90,NA())</f>
        <v>0</v>
      </c>
      <c r="O90" s="14">
        <f>IF(AND(ITER&gt;0,I90=1),C90,NA())</f>
        <v>0</v>
      </c>
      <c r="P90" s="14">
        <f>IF(AND(ITER&gt;0,I90=2),B90,NA())</f>
        <v>0</v>
      </c>
      <c r="Q90" s="14">
        <f>IF(AND(ITER&gt;0,I90=2),C90,NA())</f>
        <v>0</v>
      </c>
      <c r="R90" s="14">
        <f>IF(AND(ITER&gt;0,I90=3),B90,NA())</f>
        <v>0</v>
      </c>
      <c r="S90" s="14">
        <f>IF(AND(ITER&gt;0,I90=3),C90,NA())</f>
        <v>0</v>
      </c>
    </row>
    <row r="91" spans="1:19">
      <c r="A91" s="11" t="s">
        <v>91</v>
      </c>
      <c r="B91" s="11">
        <v>74</v>
      </c>
      <c r="C91" s="12">
        <v>2080</v>
      </c>
      <c r="D91" s="7">
        <f>STANDARDIZE(B91,AVERAGE($B$33:$B$122),_xlfn.STDEV.S($B$33:$B$122))</f>
        <v>0</v>
      </c>
      <c r="E91" s="7">
        <f>STANDARDIZE(C91,AVERAGE($C$33:$C$122),_xlfn.STDEV.S($C$33:$C$122))</f>
        <v>0</v>
      </c>
      <c r="F91" s="7">
        <f>SQRT((D91-$B$19)^2+(E91-$C$19)^2)</f>
        <v>0</v>
      </c>
      <c r="G91" s="7">
        <f>SQRT((D91-$B$20)^2+(E91-$C$20)^2)</f>
        <v>0</v>
      </c>
      <c r="H91" s="7">
        <f>SQRT((D91-$B$21)^2+(E91-$C$21)^2)</f>
        <v>0</v>
      </c>
      <c r="I91" s="13">
        <f>MATCH(MIN(F91:H91),F91:H91,0)</f>
        <v>0</v>
      </c>
      <c r="J91" s="7">
        <f>INDEX(F91:H91,I91)^2</f>
        <v>0</v>
      </c>
      <c r="L91" s="14">
        <f>IF(ITER=0,B91,NA())</f>
        <v>0</v>
      </c>
      <c r="M91" s="14">
        <f>IF(ITER=0,C91,NA())</f>
        <v>0</v>
      </c>
      <c r="N91" s="14">
        <f>IF(AND(ITER&gt;0,I91=1),B91,NA())</f>
        <v>0</v>
      </c>
      <c r="O91" s="14">
        <f>IF(AND(ITER&gt;0,I91=1),C91,NA())</f>
        <v>0</v>
      </c>
      <c r="P91" s="14">
        <f>IF(AND(ITER&gt;0,I91=2),B91,NA())</f>
        <v>0</v>
      </c>
      <c r="Q91" s="14">
        <f>IF(AND(ITER&gt;0,I91=2),C91,NA())</f>
        <v>0</v>
      </c>
      <c r="R91" s="14">
        <f>IF(AND(ITER&gt;0,I91=3),B91,NA())</f>
        <v>0</v>
      </c>
      <c r="S91" s="14">
        <f>IF(AND(ITER&gt;0,I91=3),C91,NA())</f>
        <v>0</v>
      </c>
    </row>
    <row r="92" spans="1:19">
      <c r="A92" s="11" t="s">
        <v>92</v>
      </c>
      <c r="B92" s="11">
        <v>10</v>
      </c>
      <c r="C92" s="12">
        <v>4500</v>
      </c>
      <c r="D92" s="7">
        <f>STANDARDIZE(B92,AVERAGE($B$33:$B$122),_xlfn.STDEV.S($B$33:$B$122))</f>
        <v>0</v>
      </c>
      <c r="E92" s="7">
        <f>STANDARDIZE(C92,AVERAGE($C$33:$C$122),_xlfn.STDEV.S($C$33:$C$122))</f>
        <v>0</v>
      </c>
      <c r="F92" s="7">
        <f>SQRT((D92-$B$19)^2+(E92-$C$19)^2)</f>
        <v>0</v>
      </c>
      <c r="G92" s="7">
        <f>SQRT((D92-$B$20)^2+(E92-$C$20)^2)</f>
        <v>0</v>
      </c>
      <c r="H92" s="7">
        <f>SQRT((D92-$B$21)^2+(E92-$C$21)^2)</f>
        <v>0</v>
      </c>
      <c r="I92" s="13">
        <f>MATCH(MIN(F92:H92),F92:H92,0)</f>
        <v>0</v>
      </c>
      <c r="J92" s="7">
        <f>INDEX(F92:H92,I92)^2</f>
        <v>0</v>
      </c>
      <c r="L92" s="14">
        <f>IF(ITER=0,B92,NA())</f>
        <v>0</v>
      </c>
      <c r="M92" s="14">
        <f>IF(ITER=0,C92,NA())</f>
        <v>0</v>
      </c>
      <c r="N92" s="14">
        <f>IF(AND(ITER&gt;0,I92=1),B92,NA())</f>
        <v>0</v>
      </c>
      <c r="O92" s="14">
        <f>IF(AND(ITER&gt;0,I92=1),C92,NA())</f>
        <v>0</v>
      </c>
      <c r="P92" s="14">
        <f>IF(AND(ITER&gt;0,I92=2),B92,NA())</f>
        <v>0</v>
      </c>
      <c r="Q92" s="14">
        <f>IF(AND(ITER&gt;0,I92=2),C92,NA())</f>
        <v>0</v>
      </c>
      <c r="R92" s="14">
        <f>IF(AND(ITER&gt;0,I92=3),B92,NA())</f>
        <v>0</v>
      </c>
      <c r="S92" s="14">
        <f>IF(AND(ITER&gt;0,I92=3),C92,NA())</f>
        <v>0</v>
      </c>
    </row>
    <row r="93" spans="1:19">
      <c r="A93" s="11" t="s">
        <v>93</v>
      </c>
      <c r="B93" s="11">
        <v>16</v>
      </c>
      <c r="C93" s="12">
        <v>1550</v>
      </c>
      <c r="D93" s="7">
        <f>STANDARDIZE(B93,AVERAGE($B$33:$B$122),_xlfn.STDEV.S($B$33:$B$122))</f>
        <v>0</v>
      </c>
      <c r="E93" s="7">
        <f>STANDARDIZE(C93,AVERAGE($C$33:$C$122),_xlfn.STDEV.S($C$33:$C$122))</f>
        <v>0</v>
      </c>
      <c r="F93" s="7">
        <f>SQRT((D93-$B$19)^2+(E93-$C$19)^2)</f>
        <v>0</v>
      </c>
      <c r="G93" s="7">
        <f>SQRT((D93-$B$20)^2+(E93-$C$20)^2)</f>
        <v>0</v>
      </c>
      <c r="H93" s="7">
        <f>SQRT((D93-$B$21)^2+(E93-$C$21)^2)</f>
        <v>0</v>
      </c>
      <c r="I93" s="13">
        <f>MATCH(MIN(F93:H93),F93:H93,0)</f>
        <v>0</v>
      </c>
      <c r="J93" s="7">
        <f>INDEX(F93:H93,I93)^2</f>
        <v>0</v>
      </c>
      <c r="L93" s="14">
        <f>IF(ITER=0,B93,NA())</f>
        <v>0</v>
      </c>
      <c r="M93" s="14">
        <f>IF(ITER=0,C93,NA())</f>
        <v>0</v>
      </c>
      <c r="N93" s="14">
        <f>IF(AND(ITER&gt;0,I93=1),B93,NA())</f>
        <v>0</v>
      </c>
      <c r="O93" s="14">
        <f>IF(AND(ITER&gt;0,I93=1),C93,NA())</f>
        <v>0</v>
      </c>
      <c r="P93" s="14">
        <f>IF(AND(ITER&gt;0,I93=2),B93,NA())</f>
        <v>0</v>
      </c>
      <c r="Q93" s="14">
        <f>IF(AND(ITER&gt;0,I93=2),C93,NA())</f>
        <v>0</v>
      </c>
      <c r="R93" s="14">
        <f>IF(AND(ITER&gt;0,I93=3),B93,NA())</f>
        <v>0</v>
      </c>
      <c r="S93" s="14">
        <f>IF(AND(ITER&gt;0,I93=3),C93,NA())</f>
        <v>0</v>
      </c>
    </row>
    <row r="94" spans="1:19">
      <c r="A94" s="11" t="s">
        <v>94</v>
      </c>
      <c r="B94" s="11">
        <v>32</v>
      </c>
      <c r="C94" s="12">
        <v>2330</v>
      </c>
      <c r="D94" s="7">
        <f>STANDARDIZE(B94,AVERAGE($B$33:$B$122),_xlfn.STDEV.S($B$33:$B$122))</f>
        <v>0</v>
      </c>
      <c r="E94" s="7">
        <f>STANDARDIZE(C94,AVERAGE($C$33:$C$122),_xlfn.STDEV.S($C$33:$C$122))</f>
        <v>0</v>
      </c>
      <c r="F94" s="7">
        <f>SQRT((D94-$B$19)^2+(E94-$C$19)^2)</f>
        <v>0</v>
      </c>
      <c r="G94" s="7">
        <f>SQRT((D94-$B$20)^2+(E94-$C$20)^2)</f>
        <v>0</v>
      </c>
      <c r="H94" s="7">
        <f>SQRT((D94-$B$21)^2+(E94-$C$21)^2)</f>
        <v>0</v>
      </c>
      <c r="I94" s="13">
        <f>MATCH(MIN(F94:H94),F94:H94,0)</f>
        <v>0</v>
      </c>
      <c r="J94" s="7">
        <f>INDEX(F94:H94,I94)^2</f>
        <v>0</v>
      </c>
      <c r="L94" s="14">
        <f>IF(ITER=0,B94,NA())</f>
        <v>0</v>
      </c>
      <c r="M94" s="14">
        <f>IF(ITER=0,C94,NA())</f>
        <v>0</v>
      </c>
      <c r="N94" s="14">
        <f>IF(AND(ITER&gt;0,I94=1),B94,NA())</f>
        <v>0</v>
      </c>
      <c r="O94" s="14">
        <f>IF(AND(ITER&gt;0,I94=1),C94,NA())</f>
        <v>0</v>
      </c>
      <c r="P94" s="14">
        <f>IF(AND(ITER&gt;0,I94=2),B94,NA())</f>
        <v>0</v>
      </c>
      <c r="Q94" s="14">
        <f>IF(AND(ITER&gt;0,I94=2),C94,NA())</f>
        <v>0</v>
      </c>
      <c r="R94" s="14">
        <f>IF(AND(ITER&gt;0,I94=3),B94,NA())</f>
        <v>0</v>
      </c>
      <c r="S94" s="14">
        <f>IF(AND(ITER&gt;0,I94=3),C94,NA())</f>
        <v>0</v>
      </c>
    </row>
    <row r="95" spans="1:19">
      <c r="A95" s="11" t="s">
        <v>95</v>
      </c>
      <c r="B95" s="11">
        <v>33</v>
      </c>
      <c r="C95" s="12">
        <v>4850</v>
      </c>
      <c r="D95" s="7">
        <f>STANDARDIZE(B95,AVERAGE($B$33:$B$122),_xlfn.STDEV.S($B$33:$B$122))</f>
        <v>0</v>
      </c>
      <c r="E95" s="7">
        <f>STANDARDIZE(C95,AVERAGE($C$33:$C$122),_xlfn.STDEV.S($C$33:$C$122))</f>
        <v>0</v>
      </c>
      <c r="F95" s="7">
        <f>SQRT((D95-$B$19)^2+(E95-$C$19)^2)</f>
        <v>0</v>
      </c>
      <c r="G95" s="7">
        <f>SQRT((D95-$B$20)^2+(E95-$C$20)^2)</f>
        <v>0</v>
      </c>
      <c r="H95" s="7">
        <f>SQRT((D95-$B$21)^2+(E95-$C$21)^2)</f>
        <v>0</v>
      </c>
      <c r="I95" s="13">
        <f>MATCH(MIN(F95:H95),F95:H95,0)</f>
        <v>0</v>
      </c>
      <c r="J95" s="7">
        <f>INDEX(F95:H95,I95)^2</f>
        <v>0</v>
      </c>
      <c r="L95" s="14">
        <f>IF(ITER=0,B95,NA())</f>
        <v>0</v>
      </c>
      <c r="M95" s="14">
        <f>IF(ITER=0,C95,NA())</f>
        <v>0</v>
      </c>
      <c r="N95" s="14">
        <f>IF(AND(ITER&gt;0,I95=1),B95,NA())</f>
        <v>0</v>
      </c>
      <c r="O95" s="14">
        <f>IF(AND(ITER&gt;0,I95=1),C95,NA())</f>
        <v>0</v>
      </c>
      <c r="P95" s="14">
        <f>IF(AND(ITER&gt;0,I95=2),B95,NA())</f>
        <v>0</v>
      </c>
      <c r="Q95" s="14">
        <f>IF(AND(ITER&gt;0,I95=2),C95,NA())</f>
        <v>0</v>
      </c>
      <c r="R95" s="14">
        <f>IF(AND(ITER&gt;0,I95=3),B95,NA())</f>
        <v>0</v>
      </c>
      <c r="S95" s="14">
        <f>IF(AND(ITER&gt;0,I95=3),C95,NA())</f>
        <v>0</v>
      </c>
    </row>
    <row r="96" spans="1:19">
      <c r="A96" s="11" t="s">
        <v>96</v>
      </c>
      <c r="B96" s="11">
        <v>10</v>
      </c>
      <c r="C96" s="12">
        <v>5970</v>
      </c>
      <c r="D96" s="7">
        <f>STANDARDIZE(B96,AVERAGE($B$33:$B$122),_xlfn.STDEV.S($B$33:$B$122))</f>
        <v>0</v>
      </c>
      <c r="E96" s="7">
        <f>STANDARDIZE(C96,AVERAGE($C$33:$C$122),_xlfn.STDEV.S($C$33:$C$122))</f>
        <v>0</v>
      </c>
      <c r="F96" s="7">
        <f>SQRT((D96-$B$19)^2+(E96-$C$19)^2)</f>
        <v>0</v>
      </c>
      <c r="G96" s="7">
        <f>SQRT((D96-$B$20)^2+(E96-$C$20)^2)</f>
        <v>0</v>
      </c>
      <c r="H96" s="7">
        <f>SQRT((D96-$B$21)^2+(E96-$C$21)^2)</f>
        <v>0</v>
      </c>
      <c r="I96" s="13">
        <f>MATCH(MIN(F96:H96),F96:H96,0)</f>
        <v>0</v>
      </c>
      <c r="J96" s="7">
        <f>INDEX(F96:H96,I96)^2</f>
        <v>0</v>
      </c>
      <c r="L96" s="14">
        <f>IF(ITER=0,B96,NA())</f>
        <v>0</v>
      </c>
      <c r="M96" s="14">
        <f>IF(ITER=0,C96,NA())</f>
        <v>0</v>
      </c>
      <c r="N96" s="14">
        <f>IF(AND(ITER&gt;0,I96=1),B96,NA())</f>
        <v>0</v>
      </c>
      <c r="O96" s="14">
        <f>IF(AND(ITER&gt;0,I96=1),C96,NA())</f>
        <v>0</v>
      </c>
      <c r="P96" s="14">
        <f>IF(AND(ITER&gt;0,I96=2),B96,NA())</f>
        <v>0</v>
      </c>
      <c r="Q96" s="14">
        <f>IF(AND(ITER&gt;0,I96=2),C96,NA())</f>
        <v>0</v>
      </c>
      <c r="R96" s="14">
        <f>IF(AND(ITER&gt;0,I96=3),B96,NA())</f>
        <v>0</v>
      </c>
      <c r="S96" s="14">
        <f>IF(AND(ITER&gt;0,I96=3),C96,NA())</f>
        <v>0</v>
      </c>
    </row>
    <row r="97" spans="1:19">
      <c r="A97" s="11" t="s">
        <v>97</v>
      </c>
      <c r="B97" s="11">
        <v>31</v>
      </c>
      <c r="C97" s="12">
        <v>4560</v>
      </c>
      <c r="D97" s="7">
        <f>STANDARDIZE(B97,AVERAGE($B$33:$B$122),_xlfn.STDEV.S($B$33:$B$122))</f>
        <v>0</v>
      </c>
      <c r="E97" s="7">
        <f>STANDARDIZE(C97,AVERAGE($C$33:$C$122),_xlfn.STDEV.S($C$33:$C$122))</f>
        <v>0</v>
      </c>
      <c r="F97" s="7">
        <f>SQRT((D97-$B$19)^2+(E97-$C$19)^2)</f>
        <v>0</v>
      </c>
      <c r="G97" s="7">
        <f>SQRT((D97-$B$20)^2+(E97-$C$20)^2)</f>
        <v>0</v>
      </c>
      <c r="H97" s="7">
        <f>SQRT((D97-$B$21)^2+(E97-$C$21)^2)</f>
        <v>0</v>
      </c>
      <c r="I97" s="13">
        <f>MATCH(MIN(F97:H97),F97:H97,0)</f>
        <v>0</v>
      </c>
      <c r="J97" s="7">
        <f>INDEX(F97:H97,I97)^2</f>
        <v>0</v>
      </c>
      <c r="L97" s="14">
        <f>IF(ITER=0,B97,NA())</f>
        <v>0</v>
      </c>
      <c r="M97" s="14">
        <f>IF(ITER=0,C97,NA())</f>
        <v>0</v>
      </c>
      <c r="N97" s="14">
        <f>IF(AND(ITER&gt;0,I97=1),B97,NA())</f>
        <v>0</v>
      </c>
      <c r="O97" s="14">
        <f>IF(AND(ITER&gt;0,I97=1),C97,NA())</f>
        <v>0</v>
      </c>
      <c r="P97" s="14">
        <f>IF(AND(ITER&gt;0,I97=2),B97,NA())</f>
        <v>0</v>
      </c>
      <c r="Q97" s="14">
        <f>IF(AND(ITER&gt;0,I97=2),C97,NA())</f>
        <v>0</v>
      </c>
      <c r="R97" s="14">
        <f>IF(AND(ITER&gt;0,I97=3),B97,NA())</f>
        <v>0</v>
      </c>
      <c r="S97" s="14">
        <f>IF(AND(ITER&gt;0,I97=3),C97,NA())</f>
        <v>0</v>
      </c>
    </row>
    <row r="98" spans="1:19">
      <c r="A98" s="11" t="s">
        <v>98</v>
      </c>
      <c r="B98" s="11">
        <v>11</v>
      </c>
      <c r="C98" s="12">
        <v>5200</v>
      </c>
      <c r="D98" s="7">
        <f>STANDARDIZE(B98,AVERAGE($B$33:$B$122),_xlfn.STDEV.S($B$33:$B$122))</f>
        <v>0</v>
      </c>
      <c r="E98" s="7">
        <f>STANDARDIZE(C98,AVERAGE($C$33:$C$122),_xlfn.STDEV.S($C$33:$C$122))</f>
        <v>0</v>
      </c>
      <c r="F98" s="7">
        <f>SQRT((D98-$B$19)^2+(E98-$C$19)^2)</f>
        <v>0</v>
      </c>
      <c r="G98" s="7">
        <f>SQRT((D98-$B$20)^2+(E98-$C$20)^2)</f>
        <v>0</v>
      </c>
      <c r="H98" s="7">
        <f>SQRT((D98-$B$21)^2+(E98-$C$21)^2)</f>
        <v>0</v>
      </c>
      <c r="I98" s="13">
        <f>MATCH(MIN(F98:H98),F98:H98,0)</f>
        <v>0</v>
      </c>
      <c r="J98" s="7">
        <f>INDEX(F98:H98,I98)^2</f>
        <v>0</v>
      </c>
      <c r="L98" s="14">
        <f>IF(ITER=0,B98,NA())</f>
        <v>0</v>
      </c>
      <c r="M98" s="14">
        <f>IF(ITER=0,C98,NA())</f>
        <v>0</v>
      </c>
      <c r="N98" s="14">
        <f>IF(AND(ITER&gt;0,I98=1),B98,NA())</f>
        <v>0</v>
      </c>
      <c r="O98" s="14">
        <f>IF(AND(ITER&gt;0,I98=1),C98,NA())</f>
        <v>0</v>
      </c>
      <c r="P98" s="14">
        <f>IF(AND(ITER&gt;0,I98=2),B98,NA())</f>
        <v>0</v>
      </c>
      <c r="Q98" s="14">
        <f>IF(AND(ITER&gt;0,I98=2),C98,NA())</f>
        <v>0</v>
      </c>
      <c r="R98" s="14">
        <f>IF(AND(ITER&gt;0,I98=3),B98,NA())</f>
        <v>0</v>
      </c>
      <c r="S98" s="14">
        <f>IF(AND(ITER&gt;0,I98=3),C98,NA())</f>
        <v>0</v>
      </c>
    </row>
    <row r="99" spans="1:19">
      <c r="A99" s="11" t="s">
        <v>99</v>
      </c>
      <c r="B99" s="11">
        <v>71</v>
      </c>
      <c r="C99" s="12">
        <v>2150</v>
      </c>
      <c r="D99" s="7">
        <f>STANDARDIZE(B99,AVERAGE($B$33:$B$122),_xlfn.STDEV.S($B$33:$B$122))</f>
        <v>0</v>
      </c>
      <c r="E99" s="7">
        <f>STANDARDIZE(C99,AVERAGE($C$33:$C$122),_xlfn.STDEV.S($C$33:$C$122))</f>
        <v>0</v>
      </c>
      <c r="F99" s="7">
        <f>SQRT((D99-$B$19)^2+(E99-$C$19)^2)</f>
        <v>0</v>
      </c>
      <c r="G99" s="7">
        <f>SQRT((D99-$B$20)^2+(E99-$C$20)^2)</f>
        <v>0</v>
      </c>
      <c r="H99" s="7">
        <f>SQRT((D99-$B$21)^2+(E99-$C$21)^2)</f>
        <v>0</v>
      </c>
      <c r="I99" s="13">
        <f>MATCH(MIN(F99:H99),F99:H99,0)</f>
        <v>0</v>
      </c>
      <c r="J99" s="7">
        <f>INDEX(F99:H99,I99)^2</f>
        <v>0</v>
      </c>
      <c r="L99" s="14">
        <f>IF(ITER=0,B99,NA())</f>
        <v>0</v>
      </c>
      <c r="M99" s="14">
        <f>IF(ITER=0,C99,NA())</f>
        <v>0</v>
      </c>
      <c r="N99" s="14">
        <f>IF(AND(ITER&gt;0,I99=1),B99,NA())</f>
        <v>0</v>
      </c>
      <c r="O99" s="14">
        <f>IF(AND(ITER&gt;0,I99=1),C99,NA())</f>
        <v>0</v>
      </c>
      <c r="P99" s="14">
        <f>IF(AND(ITER&gt;0,I99=2),B99,NA())</f>
        <v>0</v>
      </c>
      <c r="Q99" s="14">
        <f>IF(AND(ITER&gt;0,I99=2),C99,NA())</f>
        <v>0</v>
      </c>
      <c r="R99" s="14">
        <f>IF(AND(ITER&gt;0,I99=3),B99,NA())</f>
        <v>0</v>
      </c>
      <c r="S99" s="14">
        <f>IF(AND(ITER&gt;0,I99=3),C99,NA())</f>
        <v>0</v>
      </c>
    </row>
    <row r="100" spans="1:19">
      <c r="A100" s="11" t="s">
        <v>100</v>
      </c>
      <c r="B100" s="11">
        <v>8</v>
      </c>
      <c r="C100" s="12">
        <v>2560</v>
      </c>
      <c r="D100" s="7">
        <f>STANDARDIZE(B100,AVERAGE($B$33:$B$122),_xlfn.STDEV.S($B$33:$B$122))</f>
        <v>0</v>
      </c>
      <c r="E100" s="7">
        <f>STANDARDIZE(C100,AVERAGE($C$33:$C$122),_xlfn.STDEV.S($C$33:$C$122))</f>
        <v>0</v>
      </c>
      <c r="F100" s="7">
        <f>SQRT((D100-$B$19)^2+(E100-$C$19)^2)</f>
        <v>0</v>
      </c>
      <c r="G100" s="7">
        <f>SQRT((D100-$B$20)^2+(E100-$C$20)^2)</f>
        <v>0</v>
      </c>
      <c r="H100" s="7">
        <f>SQRT((D100-$B$21)^2+(E100-$C$21)^2)</f>
        <v>0</v>
      </c>
      <c r="I100" s="13">
        <f>MATCH(MIN(F100:H100),F100:H100,0)</f>
        <v>0</v>
      </c>
      <c r="J100" s="7">
        <f>INDEX(F100:H100,I100)^2</f>
        <v>0</v>
      </c>
      <c r="L100" s="14">
        <f>IF(ITER=0,B100,NA())</f>
        <v>0</v>
      </c>
      <c r="M100" s="14">
        <f>IF(ITER=0,C100,NA())</f>
        <v>0</v>
      </c>
      <c r="N100" s="14">
        <f>IF(AND(ITER&gt;0,I100=1),B100,NA())</f>
        <v>0</v>
      </c>
      <c r="O100" s="14">
        <f>IF(AND(ITER&gt;0,I100=1),C100,NA())</f>
        <v>0</v>
      </c>
      <c r="P100" s="14">
        <f>IF(AND(ITER&gt;0,I100=2),B100,NA())</f>
        <v>0</v>
      </c>
      <c r="Q100" s="14">
        <f>IF(AND(ITER&gt;0,I100=2),C100,NA())</f>
        <v>0</v>
      </c>
      <c r="R100" s="14">
        <f>IF(AND(ITER&gt;0,I100=3),B100,NA())</f>
        <v>0</v>
      </c>
      <c r="S100" s="14">
        <f>IF(AND(ITER&gt;0,I100=3),C100,NA())</f>
        <v>0</v>
      </c>
    </row>
    <row r="101" spans="1:19">
      <c r="A101" s="11" t="s">
        <v>101</v>
      </c>
      <c r="B101" s="11">
        <v>10</v>
      </c>
      <c r="C101" s="12">
        <v>2510</v>
      </c>
      <c r="D101" s="7">
        <f>STANDARDIZE(B101,AVERAGE($B$33:$B$122),_xlfn.STDEV.S($B$33:$B$122))</f>
        <v>0</v>
      </c>
      <c r="E101" s="7">
        <f>STANDARDIZE(C101,AVERAGE($C$33:$C$122),_xlfn.STDEV.S($C$33:$C$122))</f>
        <v>0</v>
      </c>
      <c r="F101" s="7">
        <f>SQRT((D101-$B$19)^2+(E101-$C$19)^2)</f>
        <v>0</v>
      </c>
      <c r="G101" s="7">
        <f>SQRT((D101-$B$20)^2+(E101-$C$20)^2)</f>
        <v>0</v>
      </c>
      <c r="H101" s="7">
        <f>SQRT((D101-$B$21)^2+(E101-$C$21)^2)</f>
        <v>0</v>
      </c>
      <c r="I101" s="13">
        <f>MATCH(MIN(F101:H101),F101:H101,0)</f>
        <v>0</v>
      </c>
      <c r="J101" s="7">
        <f>INDEX(F101:H101,I101)^2</f>
        <v>0</v>
      </c>
      <c r="L101" s="14">
        <f>IF(ITER=0,B101,NA())</f>
        <v>0</v>
      </c>
      <c r="M101" s="14">
        <f>IF(ITER=0,C101,NA())</f>
        <v>0</v>
      </c>
      <c r="N101" s="14">
        <f>IF(AND(ITER&gt;0,I101=1),B101,NA())</f>
        <v>0</v>
      </c>
      <c r="O101" s="14">
        <f>IF(AND(ITER&gt;0,I101=1),C101,NA())</f>
        <v>0</v>
      </c>
      <c r="P101" s="14">
        <f>IF(AND(ITER&gt;0,I101=2),B101,NA())</f>
        <v>0</v>
      </c>
      <c r="Q101" s="14">
        <f>IF(AND(ITER&gt;0,I101=2),C101,NA())</f>
        <v>0</v>
      </c>
      <c r="R101" s="14">
        <f>IF(AND(ITER&gt;0,I101=3),B101,NA())</f>
        <v>0</v>
      </c>
      <c r="S101" s="14">
        <f>IF(AND(ITER&gt;0,I101=3),C101,NA())</f>
        <v>0</v>
      </c>
    </row>
    <row r="102" spans="1:19">
      <c r="A102" s="11" t="s">
        <v>102</v>
      </c>
      <c r="B102" s="11">
        <v>30</v>
      </c>
      <c r="C102" s="12">
        <v>1010</v>
      </c>
      <c r="D102" s="7">
        <f>STANDARDIZE(B102,AVERAGE($B$33:$B$122),_xlfn.STDEV.S($B$33:$B$122))</f>
        <v>0</v>
      </c>
      <c r="E102" s="7">
        <f>STANDARDIZE(C102,AVERAGE($C$33:$C$122),_xlfn.STDEV.S($C$33:$C$122))</f>
        <v>0</v>
      </c>
      <c r="F102" s="7">
        <f>SQRT((D102-$B$19)^2+(E102-$C$19)^2)</f>
        <v>0</v>
      </c>
      <c r="G102" s="7">
        <f>SQRT((D102-$B$20)^2+(E102-$C$20)^2)</f>
        <v>0</v>
      </c>
      <c r="H102" s="7">
        <f>SQRT((D102-$B$21)^2+(E102-$C$21)^2)</f>
        <v>0</v>
      </c>
      <c r="I102" s="13">
        <f>MATCH(MIN(F102:H102),F102:H102,0)</f>
        <v>0</v>
      </c>
      <c r="J102" s="7">
        <f>INDEX(F102:H102,I102)^2</f>
        <v>0</v>
      </c>
      <c r="L102" s="14">
        <f>IF(ITER=0,B102,NA())</f>
        <v>0</v>
      </c>
      <c r="M102" s="14">
        <f>IF(ITER=0,C102,NA())</f>
        <v>0</v>
      </c>
      <c r="N102" s="14">
        <f>IF(AND(ITER&gt;0,I102=1),B102,NA())</f>
        <v>0</v>
      </c>
      <c r="O102" s="14">
        <f>IF(AND(ITER&gt;0,I102=1),C102,NA())</f>
        <v>0</v>
      </c>
      <c r="P102" s="14">
        <f>IF(AND(ITER&gt;0,I102=2),B102,NA())</f>
        <v>0</v>
      </c>
      <c r="Q102" s="14">
        <f>IF(AND(ITER&gt;0,I102=2),C102,NA())</f>
        <v>0</v>
      </c>
      <c r="R102" s="14">
        <f>IF(AND(ITER&gt;0,I102=3),B102,NA())</f>
        <v>0</v>
      </c>
      <c r="S102" s="14">
        <f>IF(AND(ITER&gt;0,I102=3),C102,NA())</f>
        <v>0</v>
      </c>
    </row>
    <row r="103" spans="1:19">
      <c r="A103" s="11" t="s">
        <v>103</v>
      </c>
      <c r="B103" s="11">
        <v>99</v>
      </c>
      <c r="C103" s="12">
        <v>1930</v>
      </c>
      <c r="D103" s="7">
        <f>STANDARDIZE(B103,AVERAGE($B$33:$B$122),_xlfn.STDEV.S($B$33:$B$122))</f>
        <v>0</v>
      </c>
      <c r="E103" s="7">
        <f>STANDARDIZE(C103,AVERAGE($C$33:$C$122),_xlfn.STDEV.S($C$33:$C$122))</f>
        <v>0</v>
      </c>
      <c r="F103" s="7">
        <f>SQRT((D103-$B$19)^2+(E103-$C$19)^2)</f>
        <v>0</v>
      </c>
      <c r="G103" s="7">
        <f>SQRT((D103-$B$20)^2+(E103-$C$20)^2)</f>
        <v>0</v>
      </c>
      <c r="H103" s="7">
        <f>SQRT((D103-$B$21)^2+(E103-$C$21)^2)</f>
        <v>0</v>
      </c>
      <c r="I103" s="13">
        <f>MATCH(MIN(F103:H103),F103:H103,0)</f>
        <v>0</v>
      </c>
      <c r="J103" s="7">
        <f>INDEX(F103:H103,I103)^2</f>
        <v>0</v>
      </c>
      <c r="L103" s="14">
        <f>IF(ITER=0,B103,NA())</f>
        <v>0</v>
      </c>
      <c r="M103" s="14">
        <f>IF(ITER=0,C103,NA())</f>
        <v>0</v>
      </c>
      <c r="N103" s="14">
        <f>IF(AND(ITER&gt;0,I103=1),B103,NA())</f>
        <v>0</v>
      </c>
      <c r="O103" s="14">
        <f>IF(AND(ITER&gt;0,I103=1),C103,NA())</f>
        <v>0</v>
      </c>
      <c r="P103" s="14">
        <f>IF(AND(ITER&gt;0,I103=2),B103,NA())</f>
        <v>0</v>
      </c>
      <c r="Q103" s="14">
        <f>IF(AND(ITER&gt;0,I103=2),C103,NA())</f>
        <v>0</v>
      </c>
      <c r="R103" s="14">
        <f>IF(AND(ITER&gt;0,I103=3),B103,NA())</f>
        <v>0</v>
      </c>
      <c r="S103" s="14">
        <f>IF(AND(ITER&gt;0,I103=3),C103,NA())</f>
        <v>0</v>
      </c>
    </row>
    <row r="104" spans="1:19">
      <c r="A104" s="11" t="s">
        <v>104</v>
      </c>
      <c r="B104" s="11">
        <v>5</v>
      </c>
      <c r="C104" s="12">
        <v>2060</v>
      </c>
      <c r="D104" s="7">
        <f>STANDARDIZE(B104,AVERAGE($B$33:$B$122),_xlfn.STDEV.S($B$33:$B$122))</f>
        <v>0</v>
      </c>
      <c r="E104" s="7">
        <f>STANDARDIZE(C104,AVERAGE($C$33:$C$122),_xlfn.STDEV.S($C$33:$C$122))</f>
        <v>0</v>
      </c>
      <c r="F104" s="7">
        <f>SQRT((D104-$B$19)^2+(E104-$C$19)^2)</f>
        <v>0</v>
      </c>
      <c r="G104" s="7">
        <f>SQRT((D104-$B$20)^2+(E104-$C$20)^2)</f>
        <v>0</v>
      </c>
      <c r="H104" s="7">
        <f>SQRT((D104-$B$21)^2+(E104-$C$21)^2)</f>
        <v>0</v>
      </c>
      <c r="I104" s="13">
        <f>MATCH(MIN(F104:H104),F104:H104,0)</f>
        <v>0</v>
      </c>
      <c r="J104" s="7">
        <f>INDEX(F104:H104,I104)^2</f>
        <v>0</v>
      </c>
      <c r="L104" s="14">
        <f>IF(ITER=0,B104,NA())</f>
        <v>0</v>
      </c>
      <c r="M104" s="14">
        <f>IF(ITER=0,C104,NA())</f>
        <v>0</v>
      </c>
      <c r="N104" s="14">
        <f>IF(AND(ITER&gt;0,I104=1),B104,NA())</f>
        <v>0</v>
      </c>
      <c r="O104" s="14">
        <f>IF(AND(ITER&gt;0,I104=1),C104,NA())</f>
        <v>0</v>
      </c>
      <c r="P104" s="14">
        <f>IF(AND(ITER&gt;0,I104=2),B104,NA())</f>
        <v>0</v>
      </c>
      <c r="Q104" s="14">
        <f>IF(AND(ITER&gt;0,I104=2),C104,NA())</f>
        <v>0</v>
      </c>
      <c r="R104" s="14">
        <f>IF(AND(ITER&gt;0,I104=3),B104,NA())</f>
        <v>0</v>
      </c>
      <c r="S104" s="14">
        <f>IF(AND(ITER&gt;0,I104=3),C104,NA())</f>
        <v>0</v>
      </c>
    </row>
    <row r="105" spans="1:19">
      <c r="A105" s="11" t="s">
        <v>105</v>
      </c>
      <c r="B105" s="11">
        <v>27</v>
      </c>
      <c r="C105" s="12">
        <v>4480</v>
      </c>
      <c r="D105" s="7">
        <f>STANDARDIZE(B105,AVERAGE($B$33:$B$122),_xlfn.STDEV.S($B$33:$B$122))</f>
        <v>0</v>
      </c>
      <c r="E105" s="7">
        <f>STANDARDIZE(C105,AVERAGE($C$33:$C$122),_xlfn.STDEV.S($C$33:$C$122))</f>
        <v>0</v>
      </c>
      <c r="F105" s="7">
        <f>SQRT((D105-$B$19)^2+(E105-$C$19)^2)</f>
        <v>0</v>
      </c>
      <c r="G105" s="7">
        <f>SQRT((D105-$B$20)^2+(E105-$C$20)^2)</f>
        <v>0</v>
      </c>
      <c r="H105" s="7">
        <f>SQRT((D105-$B$21)^2+(E105-$C$21)^2)</f>
        <v>0</v>
      </c>
      <c r="I105" s="13">
        <f>MATCH(MIN(F105:H105),F105:H105,0)</f>
        <v>0</v>
      </c>
      <c r="J105" s="7">
        <f>INDEX(F105:H105,I105)^2</f>
        <v>0</v>
      </c>
      <c r="L105" s="14">
        <f>IF(ITER=0,B105,NA())</f>
        <v>0</v>
      </c>
      <c r="M105" s="14">
        <f>IF(ITER=0,C105,NA())</f>
        <v>0</v>
      </c>
      <c r="N105" s="14">
        <f>IF(AND(ITER&gt;0,I105=1),B105,NA())</f>
        <v>0</v>
      </c>
      <c r="O105" s="14">
        <f>IF(AND(ITER&gt;0,I105=1),C105,NA())</f>
        <v>0</v>
      </c>
      <c r="P105" s="14">
        <f>IF(AND(ITER&gt;0,I105=2),B105,NA())</f>
        <v>0</v>
      </c>
      <c r="Q105" s="14">
        <f>IF(AND(ITER&gt;0,I105=2),C105,NA())</f>
        <v>0</v>
      </c>
      <c r="R105" s="14">
        <f>IF(AND(ITER&gt;0,I105=3),B105,NA())</f>
        <v>0</v>
      </c>
      <c r="S105" s="14">
        <f>IF(AND(ITER&gt;0,I105=3),C105,NA())</f>
        <v>0</v>
      </c>
    </row>
    <row r="106" spans="1:19">
      <c r="A106" s="11" t="s">
        <v>106</v>
      </c>
      <c r="B106" s="11">
        <v>39</v>
      </c>
      <c r="C106" s="12">
        <v>3850</v>
      </c>
      <c r="D106" s="7">
        <f>STANDARDIZE(B106,AVERAGE($B$33:$B$122),_xlfn.STDEV.S($B$33:$B$122))</f>
        <v>0</v>
      </c>
      <c r="E106" s="7">
        <f>STANDARDIZE(C106,AVERAGE($C$33:$C$122),_xlfn.STDEV.S($C$33:$C$122))</f>
        <v>0</v>
      </c>
      <c r="F106" s="7">
        <f>SQRT((D106-$B$19)^2+(E106-$C$19)^2)</f>
        <v>0</v>
      </c>
      <c r="G106" s="7">
        <f>SQRT((D106-$B$20)^2+(E106-$C$20)^2)</f>
        <v>0</v>
      </c>
      <c r="H106" s="7">
        <f>SQRT((D106-$B$21)^2+(E106-$C$21)^2)</f>
        <v>0</v>
      </c>
      <c r="I106" s="13">
        <f>MATCH(MIN(F106:H106),F106:H106,0)</f>
        <v>0</v>
      </c>
      <c r="J106" s="7">
        <f>INDEX(F106:H106,I106)^2</f>
        <v>0</v>
      </c>
      <c r="L106" s="14">
        <f>IF(ITER=0,B106,NA())</f>
        <v>0</v>
      </c>
      <c r="M106" s="14">
        <f>IF(ITER=0,C106,NA())</f>
        <v>0</v>
      </c>
      <c r="N106" s="14">
        <f>IF(AND(ITER&gt;0,I106=1),B106,NA())</f>
        <v>0</v>
      </c>
      <c r="O106" s="14">
        <f>IF(AND(ITER&gt;0,I106=1),C106,NA())</f>
        <v>0</v>
      </c>
      <c r="P106" s="14">
        <f>IF(AND(ITER&gt;0,I106=2),B106,NA())</f>
        <v>0</v>
      </c>
      <c r="Q106" s="14">
        <f>IF(AND(ITER&gt;0,I106=2),C106,NA())</f>
        <v>0</v>
      </c>
      <c r="R106" s="14">
        <f>IF(AND(ITER&gt;0,I106=3),B106,NA())</f>
        <v>0</v>
      </c>
      <c r="S106" s="14">
        <f>IF(AND(ITER&gt;0,I106=3),C106,NA())</f>
        <v>0</v>
      </c>
    </row>
    <row r="107" spans="1:19">
      <c r="A107" s="11" t="s">
        <v>107</v>
      </c>
      <c r="B107" s="11">
        <v>50</v>
      </c>
      <c r="C107" s="12">
        <v>1850</v>
      </c>
      <c r="D107" s="7">
        <f>STANDARDIZE(B107,AVERAGE($B$33:$B$122),_xlfn.STDEV.S($B$33:$B$122))</f>
        <v>0</v>
      </c>
      <c r="E107" s="7">
        <f>STANDARDIZE(C107,AVERAGE($C$33:$C$122),_xlfn.STDEV.S($C$33:$C$122))</f>
        <v>0</v>
      </c>
      <c r="F107" s="7">
        <f>SQRT((D107-$B$19)^2+(E107-$C$19)^2)</f>
        <v>0</v>
      </c>
      <c r="G107" s="7">
        <f>SQRT((D107-$B$20)^2+(E107-$C$20)^2)</f>
        <v>0</v>
      </c>
      <c r="H107" s="7">
        <f>SQRT((D107-$B$21)^2+(E107-$C$21)^2)</f>
        <v>0</v>
      </c>
      <c r="I107" s="13">
        <f>MATCH(MIN(F107:H107),F107:H107,0)</f>
        <v>0</v>
      </c>
      <c r="J107" s="7">
        <f>INDEX(F107:H107,I107)^2</f>
        <v>0</v>
      </c>
      <c r="L107" s="14">
        <f>IF(ITER=0,B107,NA())</f>
        <v>0</v>
      </c>
      <c r="M107" s="14">
        <f>IF(ITER=0,C107,NA())</f>
        <v>0</v>
      </c>
      <c r="N107" s="14">
        <f>IF(AND(ITER&gt;0,I107=1),B107,NA())</f>
        <v>0</v>
      </c>
      <c r="O107" s="14">
        <f>IF(AND(ITER&gt;0,I107=1),C107,NA())</f>
        <v>0</v>
      </c>
      <c r="P107" s="14">
        <f>IF(AND(ITER&gt;0,I107=2),B107,NA())</f>
        <v>0</v>
      </c>
      <c r="Q107" s="14">
        <f>IF(AND(ITER&gt;0,I107=2),C107,NA())</f>
        <v>0</v>
      </c>
      <c r="R107" s="14">
        <f>IF(AND(ITER&gt;0,I107=3),B107,NA())</f>
        <v>0</v>
      </c>
      <c r="S107" s="14">
        <f>IF(AND(ITER&gt;0,I107=3),C107,NA())</f>
        <v>0</v>
      </c>
    </row>
    <row r="108" spans="1:19">
      <c r="A108" s="11" t="s">
        <v>108</v>
      </c>
      <c r="B108" s="11">
        <v>43</v>
      </c>
      <c r="C108" s="12">
        <v>4050</v>
      </c>
      <c r="D108" s="7">
        <f>STANDARDIZE(B108,AVERAGE($B$33:$B$122),_xlfn.STDEV.S($B$33:$B$122))</f>
        <v>0</v>
      </c>
      <c r="E108" s="7">
        <f>STANDARDIZE(C108,AVERAGE($C$33:$C$122),_xlfn.STDEV.S($C$33:$C$122))</f>
        <v>0</v>
      </c>
      <c r="F108" s="7">
        <f>SQRT((D108-$B$19)^2+(E108-$C$19)^2)</f>
        <v>0</v>
      </c>
      <c r="G108" s="7">
        <f>SQRT((D108-$B$20)^2+(E108-$C$20)^2)</f>
        <v>0</v>
      </c>
      <c r="H108" s="7">
        <f>SQRT((D108-$B$21)^2+(E108-$C$21)^2)</f>
        <v>0</v>
      </c>
      <c r="I108" s="13">
        <f>MATCH(MIN(F108:H108),F108:H108,0)</f>
        <v>0</v>
      </c>
      <c r="J108" s="7">
        <f>INDEX(F108:H108,I108)^2</f>
        <v>0</v>
      </c>
      <c r="L108" s="14">
        <f>IF(ITER=0,B108,NA())</f>
        <v>0</v>
      </c>
      <c r="M108" s="14">
        <f>IF(ITER=0,C108,NA())</f>
        <v>0</v>
      </c>
      <c r="N108" s="14">
        <f>IF(AND(ITER&gt;0,I108=1),B108,NA())</f>
        <v>0</v>
      </c>
      <c r="O108" s="14">
        <f>IF(AND(ITER&gt;0,I108=1),C108,NA())</f>
        <v>0</v>
      </c>
      <c r="P108" s="14">
        <f>IF(AND(ITER&gt;0,I108=2),B108,NA())</f>
        <v>0</v>
      </c>
      <c r="Q108" s="14">
        <f>IF(AND(ITER&gt;0,I108=2),C108,NA())</f>
        <v>0</v>
      </c>
      <c r="R108" s="14">
        <f>IF(AND(ITER&gt;0,I108=3),B108,NA())</f>
        <v>0</v>
      </c>
      <c r="S108" s="14">
        <f>IF(AND(ITER&gt;0,I108=3),C108,NA())</f>
        <v>0</v>
      </c>
    </row>
    <row r="109" spans="1:19">
      <c r="A109" s="11" t="s">
        <v>109</v>
      </c>
      <c r="B109" s="11">
        <v>27</v>
      </c>
      <c r="C109" s="12">
        <v>1490</v>
      </c>
      <c r="D109" s="7">
        <f>STANDARDIZE(B109,AVERAGE($B$33:$B$122),_xlfn.STDEV.S($B$33:$B$122))</f>
        <v>0</v>
      </c>
      <c r="E109" s="7">
        <f>STANDARDIZE(C109,AVERAGE($C$33:$C$122),_xlfn.STDEV.S($C$33:$C$122))</f>
        <v>0</v>
      </c>
      <c r="F109" s="7">
        <f>SQRT((D109-$B$19)^2+(E109-$C$19)^2)</f>
        <v>0</v>
      </c>
      <c r="G109" s="7">
        <f>SQRT((D109-$B$20)^2+(E109-$C$20)^2)</f>
        <v>0</v>
      </c>
      <c r="H109" s="7">
        <f>SQRT((D109-$B$21)^2+(E109-$C$21)^2)</f>
        <v>0</v>
      </c>
      <c r="I109" s="13">
        <f>MATCH(MIN(F109:H109),F109:H109,0)</f>
        <v>0</v>
      </c>
      <c r="J109" s="7">
        <f>INDEX(F109:H109,I109)^2</f>
        <v>0</v>
      </c>
      <c r="L109" s="14">
        <f>IF(ITER=0,B109,NA())</f>
        <v>0</v>
      </c>
      <c r="M109" s="14">
        <f>IF(ITER=0,C109,NA())</f>
        <v>0</v>
      </c>
      <c r="N109" s="14">
        <f>IF(AND(ITER&gt;0,I109=1),B109,NA())</f>
        <v>0</v>
      </c>
      <c r="O109" s="14">
        <f>IF(AND(ITER&gt;0,I109=1),C109,NA())</f>
        <v>0</v>
      </c>
      <c r="P109" s="14">
        <f>IF(AND(ITER&gt;0,I109=2),B109,NA())</f>
        <v>0</v>
      </c>
      <c r="Q109" s="14">
        <f>IF(AND(ITER&gt;0,I109=2),C109,NA())</f>
        <v>0</v>
      </c>
      <c r="R109" s="14">
        <f>IF(AND(ITER&gt;0,I109=3),B109,NA())</f>
        <v>0</v>
      </c>
      <c r="S109" s="14">
        <f>IF(AND(ITER&gt;0,I109=3),C109,NA())</f>
        <v>0</v>
      </c>
    </row>
    <row r="110" spans="1:19">
      <c r="A110" s="11" t="s">
        <v>110</v>
      </c>
      <c r="B110" s="11">
        <v>30</v>
      </c>
      <c r="C110" s="12">
        <v>4580</v>
      </c>
      <c r="D110" s="7">
        <f>STANDARDIZE(B110,AVERAGE($B$33:$B$122),_xlfn.STDEV.S($B$33:$B$122))</f>
        <v>0</v>
      </c>
      <c r="E110" s="7">
        <f>STANDARDIZE(C110,AVERAGE($C$33:$C$122),_xlfn.STDEV.S($C$33:$C$122))</f>
        <v>0</v>
      </c>
      <c r="F110" s="7">
        <f>SQRT((D110-$B$19)^2+(E110-$C$19)^2)</f>
        <v>0</v>
      </c>
      <c r="G110" s="7">
        <f>SQRT((D110-$B$20)^2+(E110-$C$20)^2)</f>
        <v>0</v>
      </c>
      <c r="H110" s="7">
        <f>SQRT((D110-$B$21)^2+(E110-$C$21)^2)</f>
        <v>0</v>
      </c>
      <c r="I110" s="13">
        <f>MATCH(MIN(F110:H110),F110:H110,0)</f>
        <v>0</v>
      </c>
      <c r="J110" s="7">
        <f>INDEX(F110:H110,I110)^2</f>
        <v>0</v>
      </c>
      <c r="L110" s="14">
        <f>IF(ITER=0,B110,NA())</f>
        <v>0</v>
      </c>
      <c r="M110" s="14">
        <f>IF(ITER=0,C110,NA())</f>
        <v>0</v>
      </c>
      <c r="N110" s="14">
        <f>IF(AND(ITER&gt;0,I110=1),B110,NA())</f>
        <v>0</v>
      </c>
      <c r="O110" s="14">
        <f>IF(AND(ITER&gt;0,I110=1),C110,NA())</f>
        <v>0</v>
      </c>
      <c r="P110" s="14">
        <f>IF(AND(ITER&gt;0,I110=2),B110,NA())</f>
        <v>0</v>
      </c>
      <c r="Q110" s="14">
        <f>IF(AND(ITER&gt;0,I110=2),C110,NA())</f>
        <v>0</v>
      </c>
      <c r="R110" s="14">
        <f>IF(AND(ITER&gt;0,I110=3),B110,NA())</f>
        <v>0</v>
      </c>
      <c r="S110" s="14">
        <f>IF(AND(ITER&gt;0,I110=3),C110,NA())</f>
        <v>0</v>
      </c>
    </row>
    <row r="111" spans="1:19">
      <c r="A111" s="11" t="s">
        <v>111</v>
      </c>
      <c r="B111" s="11">
        <v>46</v>
      </c>
      <c r="C111" s="12">
        <v>2050</v>
      </c>
      <c r="D111" s="7">
        <f>STANDARDIZE(B111,AVERAGE($B$33:$B$122),_xlfn.STDEV.S($B$33:$B$122))</f>
        <v>0</v>
      </c>
      <c r="E111" s="7">
        <f>STANDARDIZE(C111,AVERAGE($C$33:$C$122),_xlfn.STDEV.S($C$33:$C$122))</f>
        <v>0</v>
      </c>
      <c r="F111" s="7">
        <f>SQRT((D111-$B$19)^2+(E111-$C$19)^2)</f>
        <v>0</v>
      </c>
      <c r="G111" s="7">
        <f>SQRT((D111-$B$20)^2+(E111-$C$20)^2)</f>
        <v>0</v>
      </c>
      <c r="H111" s="7">
        <f>SQRT((D111-$B$21)^2+(E111-$C$21)^2)</f>
        <v>0</v>
      </c>
      <c r="I111" s="13">
        <f>MATCH(MIN(F111:H111),F111:H111,0)</f>
        <v>0</v>
      </c>
      <c r="J111" s="7">
        <f>INDEX(F111:H111,I111)^2</f>
        <v>0</v>
      </c>
      <c r="L111" s="14">
        <f>IF(ITER=0,B111,NA())</f>
        <v>0</v>
      </c>
      <c r="M111" s="14">
        <f>IF(ITER=0,C111,NA())</f>
        <v>0</v>
      </c>
      <c r="N111" s="14">
        <f>IF(AND(ITER&gt;0,I111=1),B111,NA())</f>
        <v>0</v>
      </c>
      <c r="O111" s="14">
        <f>IF(AND(ITER&gt;0,I111=1),C111,NA())</f>
        <v>0</v>
      </c>
      <c r="P111" s="14">
        <f>IF(AND(ITER&gt;0,I111=2),B111,NA())</f>
        <v>0</v>
      </c>
      <c r="Q111" s="14">
        <f>IF(AND(ITER&gt;0,I111=2),C111,NA())</f>
        <v>0</v>
      </c>
      <c r="R111" s="14">
        <f>IF(AND(ITER&gt;0,I111=3),B111,NA())</f>
        <v>0</v>
      </c>
      <c r="S111" s="14">
        <f>IF(AND(ITER&gt;0,I111=3),C111,NA())</f>
        <v>0</v>
      </c>
    </row>
    <row r="112" spans="1:19">
      <c r="A112" s="11" t="s">
        <v>112</v>
      </c>
      <c r="B112" s="11">
        <v>68</v>
      </c>
      <c r="C112" s="12">
        <v>2280</v>
      </c>
      <c r="D112" s="7">
        <f>STANDARDIZE(B112,AVERAGE($B$33:$B$122),_xlfn.STDEV.S($B$33:$B$122))</f>
        <v>0</v>
      </c>
      <c r="E112" s="7">
        <f>STANDARDIZE(C112,AVERAGE($C$33:$C$122),_xlfn.STDEV.S($C$33:$C$122))</f>
        <v>0</v>
      </c>
      <c r="F112" s="7">
        <f>SQRT((D112-$B$19)^2+(E112-$C$19)^2)</f>
        <v>0</v>
      </c>
      <c r="G112" s="7">
        <f>SQRT((D112-$B$20)^2+(E112-$C$20)^2)</f>
        <v>0</v>
      </c>
      <c r="H112" s="7">
        <f>SQRT((D112-$B$21)^2+(E112-$C$21)^2)</f>
        <v>0</v>
      </c>
      <c r="I112" s="13">
        <f>MATCH(MIN(F112:H112),F112:H112,0)</f>
        <v>0</v>
      </c>
      <c r="J112" s="7">
        <f>INDEX(F112:H112,I112)^2</f>
        <v>0</v>
      </c>
      <c r="L112" s="14">
        <f>IF(ITER=0,B112,NA())</f>
        <v>0</v>
      </c>
      <c r="M112" s="14">
        <f>IF(ITER=0,C112,NA())</f>
        <v>0</v>
      </c>
      <c r="N112" s="14">
        <f>IF(AND(ITER&gt;0,I112=1),B112,NA())</f>
        <v>0</v>
      </c>
      <c r="O112" s="14">
        <f>IF(AND(ITER&gt;0,I112=1),C112,NA())</f>
        <v>0</v>
      </c>
      <c r="P112" s="14">
        <f>IF(AND(ITER&gt;0,I112=2),B112,NA())</f>
        <v>0</v>
      </c>
      <c r="Q112" s="14">
        <f>IF(AND(ITER&gt;0,I112=2),C112,NA())</f>
        <v>0</v>
      </c>
      <c r="R112" s="14">
        <f>IF(AND(ITER&gt;0,I112=3),B112,NA())</f>
        <v>0</v>
      </c>
      <c r="S112" s="14">
        <f>IF(AND(ITER&gt;0,I112=3),C112,NA())</f>
        <v>0</v>
      </c>
    </row>
    <row r="113" spans="1:19">
      <c r="A113" s="11" t="s">
        <v>113</v>
      </c>
      <c r="B113" s="11">
        <v>29</v>
      </c>
      <c r="C113" s="12">
        <v>3360</v>
      </c>
      <c r="D113" s="7">
        <f>STANDARDIZE(B113,AVERAGE($B$33:$B$122),_xlfn.STDEV.S($B$33:$B$122))</f>
        <v>0</v>
      </c>
      <c r="E113" s="7">
        <f>STANDARDIZE(C113,AVERAGE($C$33:$C$122),_xlfn.STDEV.S($C$33:$C$122))</f>
        <v>0</v>
      </c>
      <c r="F113" s="7">
        <f>SQRT((D113-$B$19)^2+(E113-$C$19)^2)</f>
        <v>0</v>
      </c>
      <c r="G113" s="7">
        <f>SQRT((D113-$B$20)^2+(E113-$C$20)^2)</f>
        <v>0</v>
      </c>
      <c r="H113" s="7">
        <f>SQRT((D113-$B$21)^2+(E113-$C$21)^2)</f>
        <v>0</v>
      </c>
      <c r="I113" s="13">
        <f>MATCH(MIN(F113:H113),F113:H113,0)</f>
        <v>0</v>
      </c>
      <c r="J113" s="7">
        <f>INDEX(F113:H113,I113)^2</f>
        <v>0</v>
      </c>
      <c r="L113" s="14">
        <f>IF(ITER=0,B113,NA())</f>
        <v>0</v>
      </c>
      <c r="M113" s="14">
        <f>IF(ITER=0,C113,NA())</f>
        <v>0</v>
      </c>
      <c r="N113" s="14">
        <f>IF(AND(ITER&gt;0,I113=1),B113,NA())</f>
        <v>0</v>
      </c>
      <c r="O113" s="14">
        <f>IF(AND(ITER&gt;0,I113=1),C113,NA())</f>
        <v>0</v>
      </c>
      <c r="P113" s="14">
        <f>IF(AND(ITER&gt;0,I113=2),B113,NA())</f>
        <v>0</v>
      </c>
      <c r="Q113" s="14">
        <f>IF(AND(ITER&gt;0,I113=2),C113,NA())</f>
        <v>0</v>
      </c>
      <c r="R113" s="14">
        <f>IF(AND(ITER&gt;0,I113=3),B113,NA())</f>
        <v>0</v>
      </c>
      <c r="S113" s="14">
        <f>IF(AND(ITER&gt;0,I113=3),C113,NA())</f>
        <v>0</v>
      </c>
    </row>
    <row r="114" spans="1:19">
      <c r="A114" s="11" t="s">
        <v>114</v>
      </c>
      <c r="B114" s="11">
        <v>23</v>
      </c>
      <c r="C114" s="12">
        <v>1600</v>
      </c>
      <c r="D114" s="7">
        <f>STANDARDIZE(B114,AVERAGE($B$33:$B$122),_xlfn.STDEV.S($B$33:$B$122))</f>
        <v>0</v>
      </c>
      <c r="E114" s="7">
        <f>STANDARDIZE(C114,AVERAGE($C$33:$C$122),_xlfn.STDEV.S($C$33:$C$122))</f>
        <v>0</v>
      </c>
      <c r="F114" s="7">
        <f>SQRT((D114-$B$19)^2+(E114-$C$19)^2)</f>
        <v>0</v>
      </c>
      <c r="G114" s="7">
        <f>SQRT((D114-$B$20)^2+(E114-$C$20)^2)</f>
        <v>0</v>
      </c>
      <c r="H114" s="7">
        <f>SQRT((D114-$B$21)^2+(E114-$C$21)^2)</f>
        <v>0</v>
      </c>
      <c r="I114" s="13">
        <f>MATCH(MIN(F114:H114),F114:H114,0)</f>
        <v>0</v>
      </c>
      <c r="J114" s="7">
        <f>INDEX(F114:H114,I114)^2</f>
        <v>0</v>
      </c>
      <c r="L114" s="14">
        <f>IF(ITER=0,B114,NA())</f>
        <v>0</v>
      </c>
      <c r="M114" s="14">
        <f>IF(ITER=0,C114,NA())</f>
        <v>0</v>
      </c>
      <c r="N114" s="14">
        <f>IF(AND(ITER&gt;0,I114=1),B114,NA())</f>
        <v>0</v>
      </c>
      <c r="O114" s="14">
        <f>IF(AND(ITER&gt;0,I114=1),C114,NA())</f>
        <v>0</v>
      </c>
      <c r="P114" s="14">
        <f>IF(AND(ITER&gt;0,I114=2),B114,NA())</f>
        <v>0</v>
      </c>
      <c r="Q114" s="14">
        <f>IF(AND(ITER&gt;0,I114=2),C114,NA())</f>
        <v>0</v>
      </c>
      <c r="R114" s="14">
        <f>IF(AND(ITER&gt;0,I114=3),B114,NA())</f>
        <v>0</v>
      </c>
      <c r="S114" s="14">
        <f>IF(AND(ITER&gt;0,I114=3),C114,NA())</f>
        <v>0</v>
      </c>
    </row>
    <row r="115" spans="1:19">
      <c r="A115" s="11" t="s">
        <v>115</v>
      </c>
      <c r="B115" s="11">
        <v>65</v>
      </c>
      <c r="C115" s="12">
        <v>1370</v>
      </c>
      <c r="D115" s="7">
        <f>STANDARDIZE(B115,AVERAGE($B$33:$B$122),_xlfn.STDEV.S($B$33:$B$122))</f>
        <v>0</v>
      </c>
      <c r="E115" s="7">
        <f>STANDARDIZE(C115,AVERAGE($C$33:$C$122),_xlfn.STDEV.S($C$33:$C$122))</f>
        <v>0</v>
      </c>
      <c r="F115" s="7">
        <f>SQRT((D115-$B$19)^2+(E115-$C$19)^2)</f>
        <v>0</v>
      </c>
      <c r="G115" s="7">
        <f>SQRT((D115-$B$20)^2+(E115-$C$20)^2)</f>
        <v>0</v>
      </c>
      <c r="H115" s="7">
        <f>SQRT((D115-$B$21)^2+(E115-$C$21)^2)</f>
        <v>0</v>
      </c>
      <c r="I115" s="13">
        <f>MATCH(MIN(F115:H115),F115:H115,0)</f>
        <v>0</v>
      </c>
      <c r="J115" s="7">
        <f>INDEX(F115:H115,I115)^2</f>
        <v>0</v>
      </c>
      <c r="L115" s="14">
        <f>IF(ITER=0,B115,NA())</f>
        <v>0</v>
      </c>
      <c r="M115" s="14">
        <f>IF(ITER=0,C115,NA())</f>
        <v>0</v>
      </c>
      <c r="N115" s="14">
        <f>IF(AND(ITER&gt;0,I115=1),B115,NA())</f>
        <v>0</v>
      </c>
      <c r="O115" s="14">
        <f>IF(AND(ITER&gt;0,I115=1),C115,NA())</f>
        <v>0</v>
      </c>
      <c r="P115" s="14">
        <f>IF(AND(ITER&gt;0,I115=2),B115,NA())</f>
        <v>0</v>
      </c>
      <c r="Q115" s="14">
        <f>IF(AND(ITER&gt;0,I115=2),C115,NA())</f>
        <v>0</v>
      </c>
      <c r="R115" s="14">
        <f>IF(AND(ITER&gt;0,I115=3),B115,NA())</f>
        <v>0</v>
      </c>
      <c r="S115" s="14">
        <f>IF(AND(ITER&gt;0,I115=3),C115,NA())</f>
        <v>0</v>
      </c>
    </row>
    <row r="116" spans="1:19">
      <c r="A116" s="11" t="s">
        <v>116</v>
      </c>
      <c r="B116" s="11">
        <v>21</v>
      </c>
      <c r="C116" s="12">
        <v>5100</v>
      </c>
      <c r="D116" s="7">
        <f>STANDARDIZE(B116,AVERAGE($B$33:$B$122),_xlfn.STDEV.S($B$33:$B$122))</f>
        <v>0</v>
      </c>
      <c r="E116" s="7">
        <f>STANDARDIZE(C116,AVERAGE($C$33:$C$122),_xlfn.STDEV.S($C$33:$C$122))</f>
        <v>0</v>
      </c>
      <c r="F116" s="7">
        <f>SQRT((D116-$B$19)^2+(E116-$C$19)^2)</f>
        <v>0</v>
      </c>
      <c r="G116" s="7">
        <f>SQRT((D116-$B$20)^2+(E116-$C$20)^2)</f>
        <v>0</v>
      </c>
      <c r="H116" s="7">
        <f>SQRT((D116-$B$21)^2+(E116-$C$21)^2)</f>
        <v>0</v>
      </c>
      <c r="I116" s="13">
        <f>MATCH(MIN(F116:H116),F116:H116,0)</f>
        <v>0</v>
      </c>
      <c r="J116" s="7">
        <f>INDEX(F116:H116,I116)^2</f>
        <v>0</v>
      </c>
      <c r="L116" s="14">
        <f>IF(ITER=0,B116,NA())</f>
        <v>0</v>
      </c>
      <c r="M116" s="14">
        <f>IF(ITER=0,C116,NA())</f>
        <v>0</v>
      </c>
      <c r="N116" s="14">
        <f>IF(AND(ITER&gt;0,I116=1),B116,NA())</f>
        <v>0</v>
      </c>
      <c r="O116" s="14">
        <f>IF(AND(ITER&gt;0,I116=1),C116,NA())</f>
        <v>0</v>
      </c>
      <c r="P116" s="14">
        <f>IF(AND(ITER&gt;0,I116=2),B116,NA())</f>
        <v>0</v>
      </c>
      <c r="Q116" s="14">
        <f>IF(AND(ITER&gt;0,I116=2),C116,NA())</f>
        <v>0</v>
      </c>
      <c r="R116" s="14">
        <f>IF(AND(ITER&gt;0,I116=3),B116,NA())</f>
        <v>0</v>
      </c>
      <c r="S116" s="14">
        <f>IF(AND(ITER&gt;0,I116=3),C116,NA())</f>
        <v>0</v>
      </c>
    </row>
    <row r="117" spans="1:19">
      <c r="A117" s="11" t="s">
        <v>117</v>
      </c>
      <c r="B117" s="11">
        <v>14</v>
      </c>
      <c r="C117" s="12">
        <v>2300</v>
      </c>
      <c r="D117" s="7">
        <f>STANDARDIZE(B117,AVERAGE($B$33:$B$122),_xlfn.STDEV.S($B$33:$B$122))</f>
        <v>0</v>
      </c>
      <c r="E117" s="7">
        <f>STANDARDIZE(C117,AVERAGE($C$33:$C$122),_xlfn.STDEV.S($C$33:$C$122))</f>
        <v>0</v>
      </c>
      <c r="F117" s="7">
        <f>SQRT((D117-$B$19)^2+(E117-$C$19)^2)</f>
        <v>0</v>
      </c>
      <c r="G117" s="7">
        <f>SQRT((D117-$B$20)^2+(E117-$C$20)^2)</f>
        <v>0</v>
      </c>
      <c r="H117" s="7">
        <f>SQRT((D117-$B$21)^2+(E117-$C$21)^2)</f>
        <v>0</v>
      </c>
      <c r="I117" s="13">
        <f>MATCH(MIN(F117:H117),F117:H117,0)</f>
        <v>0</v>
      </c>
      <c r="J117" s="7">
        <f>INDEX(F117:H117,I117)^2</f>
        <v>0</v>
      </c>
      <c r="L117" s="14">
        <f>IF(ITER=0,B117,NA())</f>
        <v>0</v>
      </c>
      <c r="M117" s="14">
        <f>IF(ITER=0,C117,NA())</f>
        <v>0</v>
      </c>
      <c r="N117" s="14">
        <f>IF(AND(ITER&gt;0,I117=1),B117,NA())</f>
        <v>0</v>
      </c>
      <c r="O117" s="14">
        <f>IF(AND(ITER&gt;0,I117=1),C117,NA())</f>
        <v>0</v>
      </c>
      <c r="P117" s="14">
        <f>IF(AND(ITER&gt;0,I117=2),B117,NA())</f>
        <v>0</v>
      </c>
      <c r="Q117" s="14">
        <f>IF(AND(ITER&gt;0,I117=2),C117,NA())</f>
        <v>0</v>
      </c>
      <c r="R117" s="14">
        <f>IF(AND(ITER&gt;0,I117=3),B117,NA())</f>
        <v>0</v>
      </c>
      <c r="S117" s="14">
        <f>IF(AND(ITER&gt;0,I117=3),C117,NA())</f>
        <v>0</v>
      </c>
    </row>
    <row r="118" spans="1:19">
      <c r="A118" s="11" t="s">
        <v>118</v>
      </c>
      <c r="B118" s="11">
        <v>45</v>
      </c>
      <c r="C118" s="12">
        <v>1960</v>
      </c>
      <c r="D118" s="7">
        <f>STANDARDIZE(B118,AVERAGE($B$33:$B$122),_xlfn.STDEV.S($B$33:$B$122))</f>
        <v>0</v>
      </c>
      <c r="E118" s="7">
        <f>STANDARDIZE(C118,AVERAGE($C$33:$C$122),_xlfn.STDEV.S($C$33:$C$122))</f>
        <v>0</v>
      </c>
      <c r="F118" s="7">
        <f>SQRT((D118-$B$19)^2+(E118-$C$19)^2)</f>
        <v>0</v>
      </c>
      <c r="G118" s="7">
        <f>SQRT((D118-$B$20)^2+(E118-$C$20)^2)</f>
        <v>0</v>
      </c>
      <c r="H118" s="7">
        <f>SQRT((D118-$B$21)^2+(E118-$C$21)^2)</f>
        <v>0</v>
      </c>
      <c r="I118" s="13">
        <f>MATCH(MIN(F118:H118),F118:H118,0)</f>
        <v>0</v>
      </c>
      <c r="J118" s="7">
        <f>INDEX(F118:H118,I118)^2</f>
        <v>0</v>
      </c>
      <c r="L118" s="14">
        <f>IF(ITER=0,B118,NA())</f>
        <v>0</v>
      </c>
      <c r="M118" s="14">
        <f>IF(ITER=0,C118,NA())</f>
        <v>0</v>
      </c>
      <c r="N118" s="14">
        <f>IF(AND(ITER&gt;0,I118=1),B118,NA())</f>
        <v>0</v>
      </c>
      <c r="O118" s="14">
        <f>IF(AND(ITER&gt;0,I118=1),C118,NA())</f>
        <v>0</v>
      </c>
      <c r="P118" s="14">
        <f>IF(AND(ITER&gt;0,I118=2),B118,NA())</f>
        <v>0</v>
      </c>
      <c r="Q118" s="14">
        <f>IF(AND(ITER&gt;0,I118=2),C118,NA())</f>
        <v>0</v>
      </c>
      <c r="R118" s="14">
        <f>IF(AND(ITER&gt;0,I118=3),B118,NA())</f>
        <v>0</v>
      </c>
      <c r="S118" s="14">
        <f>IF(AND(ITER&gt;0,I118=3),C118,NA())</f>
        <v>0</v>
      </c>
    </row>
    <row r="119" spans="1:19">
      <c r="A119" s="11" t="s">
        <v>119</v>
      </c>
      <c r="B119" s="11">
        <v>90</v>
      </c>
      <c r="C119" s="12">
        <v>2190</v>
      </c>
      <c r="D119" s="7">
        <f>STANDARDIZE(B119,AVERAGE($B$33:$B$122),_xlfn.STDEV.S($B$33:$B$122))</f>
        <v>0</v>
      </c>
      <c r="E119" s="7">
        <f>STANDARDIZE(C119,AVERAGE($C$33:$C$122),_xlfn.STDEV.S($C$33:$C$122))</f>
        <v>0</v>
      </c>
      <c r="F119" s="7">
        <f>SQRT((D119-$B$19)^2+(E119-$C$19)^2)</f>
        <v>0</v>
      </c>
      <c r="G119" s="7">
        <f>SQRT((D119-$B$20)^2+(E119-$C$20)^2)</f>
        <v>0</v>
      </c>
      <c r="H119" s="7">
        <f>SQRT((D119-$B$21)^2+(E119-$C$21)^2)</f>
        <v>0</v>
      </c>
      <c r="I119" s="13">
        <f>MATCH(MIN(F119:H119),F119:H119,0)</f>
        <v>0</v>
      </c>
      <c r="J119" s="7">
        <f>INDEX(F119:H119,I119)^2</f>
        <v>0</v>
      </c>
      <c r="L119" s="14">
        <f>IF(ITER=0,B119,NA())</f>
        <v>0</v>
      </c>
      <c r="M119" s="14">
        <f>IF(ITER=0,C119,NA())</f>
        <v>0</v>
      </c>
      <c r="N119" s="14">
        <f>IF(AND(ITER&gt;0,I119=1),B119,NA())</f>
        <v>0</v>
      </c>
      <c r="O119" s="14">
        <f>IF(AND(ITER&gt;0,I119=1),C119,NA())</f>
        <v>0</v>
      </c>
      <c r="P119" s="14">
        <f>IF(AND(ITER&gt;0,I119=2),B119,NA())</f>
        <v>0</v>
      </c>
      <c r="Q119" s="14">
        <f>IF(AND(ITER&gt;0,I119=2),C119,NA())</f>
        <v>0</v>
      </c>
      <c r="R119" s="14">
        <f>IF(AND(ITER&gt;0,I119=3),B119,NA())</f>
        <v>0</v>
      </c>
      <c r="S119" s="14">
        <f>IF(AND(ITER&gt;0,I119=3),C119,NA())</f>
        <v>0</v>
      </c>
    </row>
    <row r="120" spans="1:19">
      <c r="A120" s="11" t="s">
        <v>120</v>
      </c>
      <c r="B120" s="11">
        <v>17</v>
      </c>
      <c r="C120" s="12">
        <v>4370</v>
      </c>
      <c r="D120" s="7">
        <f>STANDARDIZE(B120,AVERAGE($B$33:$B$122),_xlfn.STDEV.S($B$33:$B$122))</f>
        <v>0</v>
      </c>
      <c r="E120" s="7">
        <f>STANDARDIZE(C120,AVERAGE($C$33:$C$122),_xlfn.STDEV.S($C$33:$C$122))</f>
        <v>0</v>
      </c>
      <c r="F120" s="7">
        <f>SQRT((D120-$B$19)^2+(E120-$C$19)^2)</f>
        <v>0</v>
      </c>
      <c r="G120" s="7">
        <f>SQRT((D120-$B$20)^2+(E120-$C$20)^2)</f>
        <v>0</v>
      </c>
      <c r="H120" s="7">
        <f>SQRT((D120-$B$21)^2+(E120-$C$21)^2)</f>
        <v>0</v>
      </c>
      <c r="I120" s="13">
        <f>MATCH(MIN(F120:H120),F120:H120,0)</f>
        <v>0</v>
      </c>
      <c r="J120" s="7">
        <f>INDEX(F120:H120,I120)^2</f>
        <v>0</v>
      </c>
      <c r="L120" s="14">
        <f>IF(ITER=0,B120,NA())</f>
        <v>0</v>
      </c>
      <c r="M120" s="14">
        <f>IF(ITER=0,C120,NA())</f>
        <v>0</v>
      </c>
      <c r="N120" s="14">
        <f>IF(AND(ITER&gt;0,I120=1),B120,NA())</f>
        <v>0</v>
      </c>
      <c r="O120" s="14">
        <f>IF(AND(ITER&gt;0,I120=1),C120,NA())</f>
        <v>0</v>
      </c>
      <c r="P120" s="14">
        <f>IF(AND(ITER&gt;0,I120=2),B120,NA())</f>
        <v>0</v>
      </c>
      <c r="Q120" s="14">
        <f>IF(AND(ITER&gt;0,I120=2),C120,NA())</f>
        <v>0</v>
      </c>
      <c r="R120" s="14">
        <f>IF(AND(ITER&gt;0,I120=3),B120,NA())</f>
        <v>0</v>
      </c>
      <c r="S120" s="14">
        <f>IF(AND(ITER&gt;0,I120=3),C120,NA())</f>
        <v>0</v>
      </c>
    </row>
    <row r="121" spans="1:19">
      <c r="A121" s="11" t="s">
        <v>121</v>
      </c>
      <c r="B121" s="11">
        <v>57</v>
      </c>
      <c r="C121" s="12">
        <v>1960</v>
      </c>
      <c r="D121" s="7">
        <f>STANDARDIZE(B121,AVERAGE($B$33:$B$122),_xlfn.STDEV.S($B$33:$B$122))</f>
        <v>0</v>
      </c>
      <c r="E121" s="7">
        <f>STANDARDIZE(C121,AVERAGE($C$33:$C$122),_xlfn.STDEV.S($C$33:$C$122))</f>
        <v>0</v>
      </c>
      <c r="F121" s="7">
        <f>SQRT((D121-$B$19)^2+(E121-$C$19)^2)</f>
        <v>0</v>
      </c>
      <c r="G121" s="7">
        <f>SQRT((D121-$B$20)^2+(E121-$C$20)^2)</f>
        <v>0</v>
      </c>
      <c r="H121" s="7">
        <f>SQRT((D121-$B$21)^2+(E121-$C$21)^2)</f>
        <v>0</v>
      </c>
      <c r="I121" s="13">
        <f>MATCH(MIN(F121:H121),F121:H121,0)</f>
        <v>0</v>
      </c>
      <c r="J121" s="7">
        <f>INDEX(F121:H121,I121)^2</f>
        <v>0</v>
      </c>
      <c r="L121" s="14">
        <f>IF(ITER=0,B121,NA())</f>
        <v>0</v>
      </c>
      <c r="M121" s="14">
        <f>IF(ITER=0,C121,NA())</f>
        <v>0</v>
      </c>
      <c r="N121" s="14">
        <f>IF(AND(ITER&gt;0,I121=1),B121,NA())</f>
        <v>0</v>
      </c>
      <c r="O121" s="14">
        <f>IF(AND(ITER&gt;0,I121=1),C121,NA())</f>
        <v>0</v>
      </c>
      <c r="P121" s="14">
        <f>IF(AND(ITER&gt;0,I121=2),B121,NA())</f>
        <v>0</v>
      </c>
      <c r="Q121" s="14">
        <f>IF(AND(ITER&gt;0,I121=2),C121,NA())</f>
        <v>0</v>
      </c>
      <c r="R121" s="14">
        <f>IF(AND(ITER&gt;0,I121=3),B121,NA())</f>
        <v>0</v>
      </c>
      <c r="S121" s="14">
        <f>IF(AND(ITER&gt;0,I121=3),C121,NA())</f>
        <v>0</v>
      </c>
    </row>
    <row r="122" spans="1:19">
      <c r="A122" s="11" t="s">
        <v>122</v>
      </c>
      <c r="B122" s="11">
        <v>47</v>
      </c>
      <c r="C122" s="12">
        <v>5030</v>
      </c>
      <c r="D122" s="7">
        <f>STANDARDIZE(B122,AVERAGE($B$33:$B$122),_xlfn.STDEV.S($B$33:$B$122))</f>
        <v>0</v>
      </c>
      <c r="E122" s="7">
        <f>STANDARDIZE(C122,AVERAGE($C$33:$C$122),_xlfn.STDEV.S($C$33:$C$122))</f>
        <v>0</v>
      </c>
      <c r="F122" s="7">
        <f>SQRT((D122-$B$19)^2+(E122-$C$19)^2)</f>
        <v>0</v>
      </c>
      <c r="G122" s="7">
        <f>SQRT((D122-$B$20)^2+(E122-$C$20)^2)</f>
        <v>0</v>
      </c>
      <c r="H122" s="7">
        <f>SQRT((D122-$B$21)^2+(E122-$C$21)^2)</f>
        <v>0</v>
      </c>
      <c r="I122" s="13">
        <f>MATCH(MIN(F122:H122),F122:H122,0)</f>
        <v>0</v>
      </c>
      <c r="J122" s="7">
        <f>INDEX(F122:H122,I122)^2</f>
        <v>0</v>
      </c>
      <c r="L122" s="14">
        <f>IF(ITER=0,B122,NA())</f>
        <v>0</v>
      </c>
      <c r="M122" s="14">
        <f>IF(ITER=0,C122,NA())</f>
        <v>0</v>
      </c>
      <c r="N122" s="14">
        <f>IF(AND(ITER&gt;0,I122=1),B122,NA())</f>
        <v>0</v>
      </c>
      <c r="O122" s="14">
        <f>IF(AND(ITER&gt;0,I122=1),C122,NA())</f>
        <v>0</v>
      </c>
      <c r="P122" s="14">
        <f>IF(AND(ITER&gt;0,I122=2),B122,NA())</f>
        <v>0</v>
      </c>
      <c r="Q122" s="14">
        <f>IF(AND(ITER&gt;0,I122=2),C122,NA())</f>
        <v>0</v>
      </c>
      <c r="R122" s="14">
        <f>IF(AND(ITER&gt;0,I122=3),B122,NA())</f>
        <v>0</v>
      </c>
      <c r="S122" s="14">
        <f>IF(AND(ITER&gt;0,I122=3),C122,NA())</f>
        <v>0</v>
      </c>
    </row>
  </sheetData>
  <mergeCells count="2">
    <mergeCell ref="E4:S5"/>
    <mergeCell ref="A29:J30"/>
  </mergeCells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6</vt:i4>
      </vt:variant>
    </vt:vector>
  </HeadingPairs>
  <TitlesOfParts>
    <vt:vector size="7" baseType="lpstr">
      <vt:lpstr>クラスタリング</vt:lpstr>
      <vt:lpstr>CUR_CENTERS</vt:lpstr>
      <vt:lpstr>ITER</vt:lpstr>
      <vt:lpstr>MOVE</vt:lpstr>
      <vt:lpstr>MSG_DONE</vt:lpstr>
      <vt:lpstr>NEW_CENTERS</vt:lpstr>
      <vt:lpstr>Z_DATA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2026-10-14T01:36:44Z</dcterms:created>
  <dcterms:modified xsi:type="dcterms:W3CDTF">2026-10-14T01:36:44Z</dcterms:modified>
</cp:coreProperties>
</file>